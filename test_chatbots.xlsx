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zacma\Documents\"/>
    </mc:Choice>
  </mc:AlternateContent>
  <xr:revisionPtr revIDLastSave="0" documentId="13_ncr:1_{2A7AD647-8901-4A0B-A133-80EB308BFA68}" xr6:coauthVersionLast="47" xr6:coauthVersionMax="47" xr10:uidLastSave="{00000000-0000-0000-0000-000000000000}"/>
  <bookViews>
    <workbookView xWindow="-108" yWindow="-108" windowWidth="23256" windowHeight="12456" activeTab="3" xr2:uid="{C489DDEF-358B-49E3-8FA8-8897594A427C}"/>
  </bookViews>
  <sheets>
    <sheet name="Test Questions" sheetId="1" r:id="rId1"/>
    <sheet name="Test 5.4" sheetId="4" r:id="rId2"/>
    <sheet name="Instructions" sheetId="2" r:id="rId3"/>
    <sheet name="Summary" sheetId="3" r:id="rId4"/>
  </sheets>
  <definedNames>
    <definedName name="_xlnm._FilterDatabase" localSheetId="1" hidden="1">'Test 5.4'!$F$1:$F$1</definedName>
    <definedName name="_xlnm._FilterDatabase" localSheetId="0" hidden="1">'Test Questions'!$F$1:$F$1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8" i="3" l="1"/>
  <c r="E7" i="3"/>
  <c r="E6" i="3"/>
  <c r="D8" i="3"/>
  <c r="D7" i="3"/>
  <c r="D6" i="3"/>
  <c r="E5" i="3"/>
  <c r="E4" i="3"/>
  <c r="E3" i="3"/>
  <c r="E2" i="3"/>
  <c r="D5" i="3"/>
  <c r="D4" i="3"/>
  <c r="D3" i="3"/>
  <c r="D2" i="3"/>
  <c r="C8" i="3"/>
  <c r="C7" i="3"/>
  <c r="C6" i="3"/>
  <c r="C5" i="3"/>
  <c r="C4" i="3"/>
  <c r="C3" i="3"/>
  <c r="C2" i="3"/>
  <c r="B8" i="3"/>
  <c r="B7" i="3"/>
  <c r="B6" i="3"/>
  <c r="B5" i="3"/>
  <c r="B4" i="3"/>
  <c r="B3" i="3"/>
  <c r="B2" i="3"/>
</calcChain>
</file>

<file path=xl/sharedStrings.xml><?xml version="1.0" encoding="utf-8"?>
<sst xmlns="http://schemas.openxmlformats.org/spreadsheetml/2006/main" count="335" uniqueCount="177">
  <si>
    <t>ID</t>
  </si>
  <si>
    <t>Question</t>
  </si>
  <si>
    <t>Expected Answer / Key Points</t>
  </si>
  <si>
    <t>RAG Response</t>
  </si>
  <si>
    <t>RAG Time</t>
  </si>
  <si>
    <t>RAG Evaluation</t>
  </si>
  <si>
    <t>Prompt-based Response</t>
  </si>
  <si>
    <t>Prompt-based Time</t>
  </si>
  <si>
    <t>Prompt-based Evaluation</t>
  </si>
  <si>
    <t>1. Use the same question for both chatbot implementations.
2. Do not modify the question between tests.
3. Record the complete generated response.
4. Record the response time in seconds.
5. Evaluate the response according to the predefined criteria.
6. Perform the evaluation using the expected answer/key points.
7. Record relevant observations in the Notes column.</t>
  </si>
  <si>
    <t>Correct:
The answer is factually correct and contains the relevant information.
Partially correct:
The answer is substantially correct but contains omissions or minor inaccuracies.
Incorrect:
The answer contains relevant factual errors or provides an incorrect conclusion.</t>
  </si>
  <si>
    <t>Test Procedures</t>
  </si>
  <si>
    <t>Model evaluation</t>
  </si>
  <si>
    <t>Metric</t>
  </si>
  <si>
    <t>RAG</t>
  </si>
  <si>
    <t>Prompt-based</t>
  </si>
  <si>
    <t>Average response time</t>
  </si>
  <si>
    <t>Median response time</t>
  </si>
  <si>
    <t>Maximum response time</t>
  </si>
  <si>
    <t>Minimum response time</t>
  </si>
  <si>
    <t>Correct answers</t>
  </si>
  <si>
    <t>Partially correct</t>
  </si>
  <si>
    <t>Incorrect</t>
  </si>
  <si>
    <t>Correct</t>
  </si>
  <si>
    <t>Che cos'è l'IMU e chi è tenuto a pagarla?</t>
  </si>
  <si>
    <t>Quali sono le principali categorie di immobili soggette all'IMU?</t>
  </si>
  <si>
    <t>Quali sono le scadenze per il pagamento dell'IMU?</t>
  </si>
  <si>
    <t>Quali sono le modalità di pagamento dell'IMU?</t>
  </si>
  <si>
    <t>Qual è l'aliquota IMU prevista per un terreno agricolo?</t>
  </si>
  <si>
    <t>Quali sono le principali differenze tra la disciplina nazionale dell'IMU e quella prevista dal Comune di Venezia?</t>
  </si>
  <si>
    <t>Quale regolamentazione deve essere applicata nel caso in cui una disposizione comunale differisca da quella prevista dalla normativa nazionale?</t>
  </si>
  <si>
    <t>Quali aliquote IMU sono applicabili nel Comune di Venezia  e quali hanno valore nazionale per Abitazione principale di categoria catastale A/1, A/8 e A/9?</t>
  </si>
  <si>
    <t>Un immobile appartenente alla categoria catastale A/2 è soggetto all'IMU nel Comune di Venezia?</t>
  </si>
  <si>
    <t>Quali condizioni devono essere rispettate affinché un immobile possa beneficiare dell'agevolazione prevista per unità immobiliari possedute da anziani o disabili?</t>
  </si>
  <si>
    <t>Come si calcola l'IMU dovuta per un immobile appartenente alla categoria catstale A/3?</t>
  </si>
  <si>
    <t>Quali informazioni sono necessarie per determinare l'IMU dovuta per un immobile?</t>
  </si>
  <si>
    <t>Qual è la differenza tra abitazione principale, seconda casa e altri immobili ai fini dell'IMU?</t>
  </si>
  <si>
    <t>Qual è l'aliquota applicabile e quali eventuali agevolazioni possono essere utilizzate per un edificio storico in categoria A/1?</t>
  </si>
  <si>
    <t>Un contribuente possiede una casa con giardino che rientra nella categoria catastale A/2 ed è la sua casa principale. Vorrebbe aggiungere un box auto. Quali regole IMU si applicano al suo caso?</t>
  </si>
  <si>
    <t>Quali sono le categorie catastali considerate ai fini dell'IMU?</t>
  </si>
  <si>
    <t>Quante pertinenze possono beneficiare del trattamento previsto per l'abitazione principale?</t>
  </si>
  <si>
    <t>Cosa succede se la scadenza del pagamento dell'IMU cade di domenica?</t>
  </si>
  <si>
    <t>Quali agevolazioni o esenzioni sono previste per un immobile che viene utilizzato esclusivamente per attività di volontariato?</t>
  </si>
  <si>
    <t>Quanto devo pagare di IMU?</t>
  </si>
  <si>
    <t>E per la seconda casa?</t>
  </si>
  <si>
    <t>Quali sono gli orari di apertura di Palazzo Ducale?</t>
  </si>
  <si>
    <t>Qual'è il meteo di domani?</t>
  </si>
  <si>
    <t>L’IMU (Imposta Municipale Propria) è un’imposta comunale dovuta dai proprietari e dai titolari di diritti reali sugli immobili, sulle aree fabbricabili e sui terreni agricoli. L’abitazione principale ordinaria è generalmente esente, ad eccezione degli immobili classificati nelle categorie A/1, A/8 e A/9.</t>
  </si>
  <si>
    <t>Le principali categorie di immobili soggetti all’IMU sono fabbricati, terreni agricoli e aree fabbricabili. L’abitazione principale ordinaria è generalmente esente, mentre le abitazioni principali classificate A/1, A/8 e A/9 sono soggette all’IMU.</t>
  </si>
  <si>
    <t>Per il 2026, l’aliquota IMU prevista dal Comune di Venezia per i terreni agricoli è pari all’1,06% (10,6‰).</t>
  </si>
  <si>
    <t>Per il 2026, la scadenza per il versamento dell’acconto o dell’unica soluzione è il 16 giugno, mentre il saldo deve essere versato entro il 16 dicembre. Se la scadenza cade di sabato o in un giorno festivo, il pagamento può essere effettuato il primo giorno lavorativo successivo.</t>
  </si>
  <si>
    <t>Il pagamento dell’IMU può essere effettuato attraverso le modalità previste dal Comune, tra cui il modello F24.</t>
  </si>
  <si>
    <t>La normativa nazionale stabilisce il quadro generale e le principali regole dell’IMU, mentre il Comune di Venezia stabilisce le aliquote applicabili sul territorio comunale e le specifiche disposizioni regolamentari di propria competenza.</t>
  </si>
  <si>
    <t>Nel caso di disposizioni comunali differenti, per gli aspetti di competenza comunale devono essere applicate le disposizioni previste dal regolamento e dalle aliquote del Comune di Venezia, secondo le regole applicabili.</t>
  </si>
  <si>
    <t>Per le abitazioni principali appartenenti alle categorie catastali A/1, A/8 e A/9, nel Comune di Venezia l’aliquota IMU 2026 è pari allo 0,64% (6,4‰), con una detrazione di 200 euro per l’abitazione principale.</t>
  </si>
  <si>
    <t>Un immobile appartenente alla categoria catastale A/2 utilizzato come abitazione principale è generalmente esente dall’IMU, se sono rispettati i requisiti previsti. Se invece è utilizzato come seconda casa o per altri scopi, è generalmente soggetto all’IMU.</t>
  </si>
  <si>
    <t>L’immobile deve essere posseduto da un anziano o da una persona con disabilità che abbia trasferito la propria residenza in un istituto di ricovero o sanitario a seguito di ricovero permanente, non deve essere locato e deve essere stato adibito ad abitazione principale prima del trasferimento. L’agevolazione si applica a un solo immobile e richiede la relativa autocertificazione.</t>
  </si>
  <si>
    <t>Per calcolare l’IMU di un immobile A/3 è necessario rivalutare la rendita catastale del 5% e applicare il relativo moltiplicatore catastale, pari a 160 per gli immobili abitativi. Alla base imponibile così ottenuta si applica l’aliquota IMU prevista, tenendo conto della percentuale e dei mesi di possesso e delle eventuali detrazioni o riduzioni applicabili.</t>
  </si>
  <si>
    <t>Per determinare l’IMU dovuta sono necessarie informazioni quali rendita catastale, categoria catastale, percentuale di possesso, periodo di possesso, Comune, utilizzo dell’immobile, eventuali pertinenze, aliquota applicabile ed eventuali esenzioni, detrazioni o riduzioni.</t>
  </si>
  <si>
    <t>L’abitazione principale è l’immobile nel quale il possessore dimora abitualmente e ha la propria residenza anagrafica. Le abitazioni principali ordinarie sono generalmente esenti dall’IMU, mentre quelle appartenenti alle categorie A/1, A/8 e A/9 sono soggette all’imposta. Le seconde case e gli altri immobili sono generalmente soggetti all’IMU.</t>
  </si>
  <si>
    <t>Un immobile A/2 utilizzato come abitazione principale è generalmente esente dall’IMU. Il box può essere considerato pertinenza dell’abitazione principale se sono rispettati i requisiti previsti. Per le pertinenze di categoria C/6 è possibile beneficiare del trattamento previsto per una sola unità C/6.</t>
  </si>
  <si>
    <t>Le categorie catastali sono rilevanti per determinare la base imponibile, il moltiplicatore, l’aliquota e le eventuali agevolazioni o riduzioni. Tra le categorie residenziali rilevanti rientrano A/1–A/9, mentre altre categorie rilevanti comprendono A/10, C e D.</t>
  </si>
  <si>
    <t>È possibile beneficiare del trattamento previsto per le pertinenze dell’abitazione principale per una sola pertinenza appartenente a ciascuna delle categorie C/2, C/6 e C/7, per un massimo di tre pertinenze, purché siano rispettati i requisiti previsti.</t>
  </si>
  <si>
    <t>Se la scadenza del pagamento dell’IMU cade di domenica o in un altro giorno festivo, il pagamento effettuato il primo giorno lavorativo successivo è considerato tempestivo.</t>
  </si>
  <si>
    <t>Non è possibile determinare quanto IMU deve essere pagata senza ulteriori informazioni, come rendita catastale, categoria catastale, percentuale e periodo di possesso, utilizzo dell’immobile, aliquota applicabile ed eventuali esenzioni, detrazioni o riduzioni.</t>
  </si>
  <si>
    <t>Non è possibile determinare l’IMU dovuta per una seconda casa senza le informazioni relative all’immobile e al possesso, tra cui rendita catastale, categoria catastale, percentuale e periodo di possesso e aliquota applicabile.</t>
  </si>
  <si>
    <t>La domanda non riguarda l’IMU ed è quindi al di fuori dell’ambito di assistenza del chatbot, che fornisce informazioni esclusivamente sull’IMU del Comune di Venezia.</t>
  </si>
  <si>
    <t>Che cos’è l’IMU
L’IMU (Imposta Municipale Unica) è un’imposta patrimoniale sugli immobili dovuta al comune che grava sul possesso di unità immobiliari e relative aree. Si applica sulla base imponibile calcolata a partire dalla rendita catastale dell’immobile, secondo le modalità previste dalla normativa nazionale e dal regolamento/aliquote comunali.
Chi è tenuto a pagarla
Sono soggetti passivi dell’imposta i possessori di immobili, intendendosi per tali:
il proprietario;
il titolare di un diritto reale sugli immobili (ad es. usufrutto, uso, abitazione, enfiteusi, superficie).
Altri casi particolari:
per gli immobili concessi in locazione finanziaria (leasing) è soggetto passivo il locatario dalla data di stipula e per tutta la durata del contratto;
per concessioni su aree demaniali è soggetto passivo il concessionario;
il genitore assegnatario della casa familiare per provvedimento giudiziario è considerato soggetto passivo con il diritto di abitazione a favore dell’altro genitore affidatario dei figli.
Se uno stesso immobile ha più titolari (es. comproprietà), ciascun titolare è responsabile per la propria quota: ognuno ha un’autonoma obbligazione tributaria.
Se desidera, posso spiegare come si calcola l’imposta o quali sono le esenzioni e aliquote applicate nel Comune di Venezia (indichi l’anno di riferimento, se diverso dal 2026).</t>
  </si>
  <si>
    <t>Principali categorie di immobili soggette all'IMU
L'IMU grava, in linea generale, sul possesso di immobili diversi dall'abitazione principale esente. Le categorie catastali più rilevanti sono:
Fabbricati ad uso abitativo diversi dall’abitazione principale (gruppo catastale A, salvo che si tratti dell’abitazione principale che è esente, con l’eccezione delle unità classificate A/1, A/8, A/9 che non godono dell’esenzione).
Pertinenze dell’abitazione principale: sono rilevanti le categorie C/2 (box/garage), C/6 (tettoie) e C/7 (ripostigli); l’esenzione per l’abitazione principale si estende alle pertinenze solo nei limiti e condizioni previsti (massimo una unità per ciascuna categoria).
Fabbricati Categ. B (categorie del gruppo B) e fabbricati del gruppo D (opifici, capannoni, ecc.) — rientrano tra i beni imponibili come “altri fabbricati”.
Fabbricati e categorie speciali C/1, C/3–C/7 a seconda dell’uso (negozi, laboratori, magazzini, ecc.).
Fabbricati classificati A/10 (uffici e studi privati) e D/5 quando applicabili.
Note importanti:
Alcune categorie possono godere di esenzioni o regimi particolari previsti dalla normativa nazionale o dal regolamento comunale; ad esempio è prevista un’esenzione temporanea per taluni fabbricati classificati E/1–E/9 nelle condizioni indicate dalla normativa.
L’abitazione principale è normalmente esente, salvo le eccezioni citate (A/1, A/8, A/9) e salvo diversa disposizione comunale.
Se desidera, posso fornire:
l’elenco più dettagliato delle categorie catastali con esempi d’uso;
verificare il trattamento specifico per una categoria o per un immobile concreto (in tal caso servirebbero la categoria catastale e l’anno di riferimento).</t>
  </si>
  <si>
    <t>Specifica tipi di immobili diversi come categorie catastali</t>
  </si>
  <si>
    <t>Aliquota per terreni agricoli (anno 2026)
Aliquota applicata nel 2026: 1,06% (aliquota vigente indicata nelle aliquote comunali con validità 1/1/2025–31/12/2026).
Esenzioni previste a livello nazionale: sono esenti i terreni agricoli posseduti e condotti da coltivatori diretti e imprenditori agricoli professionali iscritti alla previdenza agricola (nonché altre specifiche fattispecie elencate dalla normativa nazionale).
Se vuoi verificare se il tuo terreno rientra in un'esenzione o calcolare l'importo dovuto, indicami: rendita catastale (se disponibile) o superficie e proprietà (persona fisica o impresa) e il periodo di possesso nel 2026.</t>
  </si>
  <si>
    <t>Scadenze generali per il pagamento dell'IMU (riferimento anno 2026)
16 giugno — prima rata o versamento in unica soluzione (il contribuente può scegliere di versare l'intero importo entro questa data).
16 dicembre — seconda rata (saldo).
Nota su casi particolari:
Alcuni soggetti (previsti dalla normativa nazionale) possono avere il versamento ripartito in tre rate: 16 giugno, 16 dicembre e un conguaglio entro il 16 giugno dell’anno successivo (regole specifiche previste dalla normativa nazionale).
Scadenza dichiarazione:
30 giugno dell’anno successivo a quello in cui è iniziato il possesso o si sono verificate variazioni rilevanti, per la presentazione della dichiarazione IMU.
Avvertenza:
Quanto sopra riflette la disciplina nazionale vigente e le scadenze standard. Se il Comune di Venezia ha adottato disposizioni comunali particolari (aliquote, avvisi o proroghe), possono incidere solo sugli importi ma raramente sulle scadenze ordinarie; per completezza consultare il sito o gli avvisi del Comune di Venezia o richiedere conferma alle entrate comunali.</t>
  </si>
  <si>
    <t>Cita giustamente un caso particolare ma non elabora su chi siano</t>
  </si>
  <si>
    <t>Modalità di pagamento dell'IMU (anno di riferimento: 2026)
Le modalità di versamento valide, secondo la normativa e le informazioni comunali disponibili, sono:
Modello F24 (strumento principale)
Versamento tramite F24 presso banche, uffici postali, agenti della riscossione o tramite servizi di home banking.
Nel modello vanno compilati i campi specifici per i tributi locali (anno di riferimento, codice ente/codice catastale del Comune, indicazione “acconto” o “saldo”, ecc.).
È previsto il campo “ravv.” se il versamento riguarda un ravvedimento.
È possibile l’addebito su conto corrente (domiciliazione) indicando l’IBAN e firmando l’autorizzazione, quando previsto.
Bollettino postale
Previsto come modalità alternativa compatibilmente con le disposizioni dell’art.17 del D.Lgs. 241/1997.
Piattaforme digitali previste dal Codice dell’Amministrazione Digitale (art.5 CAD)
Uso di piattaforme di pagamento elettronico indicate dalla normativa (modalità attuative definite dai decreti competenti).
Note utili:
Per la corretta compilazione dell’F24 è necessario inserire il codice catastale del Comune (quattro caratteri) e gli altri dati richiesti; verificare sempre i codici tributo e le istruzioni aggiornate.
Le scadenze ordinarie sono fissate dalla normativa nazionale (es. acconto/unica soluzione entro il 16 giugno e saldo entro il 16 dicembre), ma per dettagli operativi e conferme sulle modalità digitali effettivamente disponibili (es. adesione a servizi di pagamento del Comune) è consigliabile consultare la sezione IMU del sito del Comune di Venezia o i relativi avvisi comunali.
Se desidera, posso indicarle i codici tributo o l’elenco dei dati da inserire sull’F24 per il Comune di Venezia (mi servirebbe conferma dell’anno d’imposta di interesse).</t>
  </si>
  <si>
    <t>Un po' troppe informazioni</t>
  </si>
  <si>
    <t>Risposta
Secondo la procedura applicata per l'IMU del Comune di Venezia (dal 2024 in poi), la decisione su quale disposizione applicare segue la gerarchia delle fonti interna:
1. Regolamento comunale (prioritario);
2. Aliquote comunali;
3. Regolamento nazionale;
4. Resto dei documenti;
5. Vocabolario.
Quindi, in via generale, si applica la disposizione prevista dal Regolamento comunale quando esiste una differenza rispetto alla normativa nazionale.
Se permangono dubbi o sussistono conflitti non risolvibili tra le fonti, si applica l’interpretazione più prudente e vengono segnalate esplicitamente le incertezze rilevanti.
Se desidera, posso verificare un caso specifico (indicarne il riferimento normativo o l'articolo del Regolamento comunale) e controllare quale norma risulta applicabile.</t>
  </si>
  <si>
    <t>Dice informazioni non rilevanti spiegando il suo regolamento dato dal prompt. Tuttavia risponde anche giustamente alla domanda</t>
  </si>
  <si>
    <t>Condizioni per beneficiare dell’agevolazione per unità possedute da anziani o disabili
Per ottenere l’agevolazione prevista quando l’interessato è un anziano o un disabile che trasferisce la propria residenza in una struttura di ricovero permanente, devono essere rispettate le seguenti condizioni:
Trasferimento di residenza in istituto di ricovero o sanitario a seguito di ricovero permanente.
L’agevolazione si applica quando il soggetto acquisisce la residenza nella struttura per ricovero permanente.
L’immobile non deve risultare locato.
L’unità deve essere libera da contratti di locazione in corso: se è locata, non può beneficiare dell’agevolazione.
L’immobile deve essere stato l’abitazione principale dell’anziano o del disabile fino al momento del trasferimento nella struttura.
Limite a una sola unità immobiliare.
Se il soggetto possiede più unità immobiliari, l’agevolazione può essere riconosciuta al massimo per una sola unità.
Titolarità riconosciuta.
L’agevolazione può riguardare unità possedute in proprietà o in altro titolo rilevante (es. usufrutto, diritto di abitazione) secondo quanto previsto dagli atti comunali.
Presentazione di dichiarazione/autocertificazione.
È richiesta la documentazione prevista dal Comune (dichiarazione IMU o autocertificazione) che attesti il trasferimento e le condizioni per l’agevolazione.
Se vuole, posso verificare e riportare il testo preciso e eventuali documenti comunali che indicano le modalità di presentazione della dichiarazione o gli eventuali moduli da usare. Vuole che li cerchi?</t>
  </si>
  <si>
    <t>Risposta
Se l'immobile A/2 è adibito ad abitazione principale (residenza anagrafica e dimora abituale del possessore e del suo nucleo familiare), non è soggetto all'IMU: l'abitazione principale è esente salvo le eccezioni previste dalla normativa.
Se invece l'immobile non è adibito ad abitazione principale (es. seconda casa, immobile locato o non occupato come residenza principale), è soggetto all'IMU e viene trattato come “altri fabbricati”.
Nota importante: l’esenzione per abitazione principale non si applica alle unità classificate A/1, A/8 e A/9 (che restano imponibili); la categoria A/2 non rientra in quelle eccezioni.
Se desidera, posso verificare l'aliquota IMU e calcolare l'importo dovuto per un caso specifico (in tal caso servono rendita catastale, eventuali pertinenze e periodi di possesso).</t>
  </si>
  <si>
    <t>Aliquote e regole applicabili (sintesi)
Aliquota nazionale di base per abitazione principale A/1, A/8, A/9: 0,50% (disposizione nazionale: legge di bilancio/commi nazionali che disciplinano l'IMU). Il legislatore prevede che il comune possa aumentare tale aliquota fino a +0,10 punti o diminuirla fino all’azzeramento.
Regola nazionale rilevante: l’esenzione ordinaria per l’abitazione principale non si applica alle unità classificate nelle categorie A/1, A/8 e A/9: queste sono quindi imponibili salvo diversa deliberazione comunale.
Comune di Venezia (validità per il periodo 01/01/2025–31/12/2026, quindi applicabile al 2026):
Aliquota deliberata per abitazione principale A/1, A/8 e A/9 (e relative pertinenze): 0,64%.
Detrazione prevista per abitazione principale: €200, rapportata al periodo di destinazione ad abitazione principale e ripartita se più soggetti.
Cosa significa in pratica
Per l’abitazione principale classificata A/1, A/8 o A/9 si applica la disciplina nazionale (base 0,50%) ma il Comune di Venezia ha deliberato un’aliquota superiore 0,64% per il 2026: quindi per il Comune di Venezia per il 2026 vale 0,64%.
Rimane comunque applicabile la detrazione €200 prevista a livello nazionale e disciplinata anche dal comune (rapportata al periodo di residenza anagrafica e alla quota di possesso).
Se vuole, calcolo l’IMU dovuta per un immobile specifico: mi servono rendita catastale aggiornata, quota di possesso (es. 100% o quota), e periodo di possesso nell’anno.</t>
  </si>
  <si>
    <t>Sintesi delle principali differenze tra disciplina nazionale e disciplina del Comune di Venezia
1) Ruolo nazionale vs poteri comunali
La normativa nazionale (legge di riferimento) fissa il quadro generale: soggetto attivo, scadenze generali (16 giugno e 16 dicembre), possibilità per i comuni di fissare aliquote e talune regole attuative.
Il Comune di Venezia esercita la potestà regolamentare e delibera aliquote, detrazioni, esenzioni e regole applicative entro i limiti e le fattispecie previste dalla normativa nazionale (in particolare recependo le indicazioni del decreto MEF 07/07/2023).
2) Aliquote e loro diversificazione
La disciplina nazionale consente ai comuni di determinare le aliquote nei limiti stabiliti dalla legge.
Il Comune di Venezia ha deliberato aliquote specifiche per il periodo 01/01/2025–31/12/2026 (applicate anche al 2026):
Abitazione principale (e pertinenze): 0,64% con detrazione €200 (rapportata al periodo).
Altri fabbricati (generici): 1,10%.
Fabbricati del gruppo D (escl. D/10), terreni agricoli e aree fabbricabili: 1,06%.
Fabbricati rurali strumentali (D/10): 0,00%.
Comodato a parenti/figli che soddisfa i requisiti: 0,76%.
Locazioni a canone concordato (e contratti transitori per studenti): 0,76%.
(Altre fattispecie specifiche sono previste nella delibera comunale.)
Queste scelte comunali rappresentano concrete differenze operative rispetto a eventuali aliquote “standard” o ad altre scelte di altri comuni.
3) Trattamento dell’abitazione principale
A livello nazionale l’abitazione principale è generalmente esente dall’IMU, con eccezioni previste dalla normativa.
Il Comune di Venezia stabilisce regole precise e un’eccezione: le abitazioni classificate A/1, A/8, A/9 non godono dell’esenzione ordinaria e sono valutate secondo l’aliquota/detrazione deliberate (nel 2026: aliquota 0,64% con detrazione €200).
4) Agevolazioni e condizioni particolari
La normativa nazionale definisce le fattispecie agevolabili; i comuni possono confermare, restringere o modulare le agevolazioni entro i limiti normativi.
Venezia ha introdotto agevolazioni/aliquote specifiche per:
abitazioni concesse in comodato a parenti/figli (requisiti documentali e autocertificazione),
locazioni a canone concordato (con richieste di documentazione/autocertificazione),
assimilazioni per anziani/disabili ricoverati (condizione: immobile non locato e precedente abitazione principale).
Alcune agevolazioni presenti in anni precedenti sono state eliminate o riqualificate in seguito alle novità normative dal 2025; il Comune applica le fattispecie ammesse dal decreto MEF.
5) Adempimenti documentali e dichiarazioni
Il Comune di Venezia richiede specifiche autocertificazioni/dichiarazioni per accedere ad alcune agevolazioni (es. comodato, locazioni a canone concordato, dichiarazione per aree fabbricabili).
A livello nazionale i principi restano, ma l’effettivo obbligo e la modulistica concreta dipendono dalla disciplina comunale: Venezia indica l’obbligo di autocertificazione quando necessario.
6) Modalità di versamento, scadenze e rateizzazione
La scadenza nazionale di massima resta 16 giugno (prima rata/unico versamento) e 16 dicembre (saldo).
Il Comune di Venezia osserva le scadenze nazionali ma definisce regole amministrative proprie per aspetti pratici (es. modalità di calcolo della prima rata in funzione dell’anno precedente) e ordina procedure di riscossione.
Il regolamento comunale contiene disposizioni specifiche su rateizzazioni e garanzie per debiti elevati (ad es. requisiti di cauzione per rateizzazioni oltre certe soglie), più dettagliate rispetto alla sola disciplina nazionale.
7) Potestà di definire limiti e condizioni amministrative
Il Comune può esercitare poteri previsti dalla legge (es. definire condizioni di esenzione per immobili concessi gratuitamente a enti pubblici, determinare criteri per la stima delle aree fabbricabili, prevedere rimborsi in caso di cambi di destinazione urbanistica).
Venezia ha regolamenti che disciplinano questi aspetti concretamente (es. condizioni e documentazione per rimborsi, criteri per rateizzazione con garanzie).
Conclusione pratica
La normativa nazionale stabilisce il quadro e le fattispecie ammissibili.
Il Comune di Venezia applica e specifica concretamente: aliquote, detrazioni, esenzioni/agevolazioni e regole procedurali (autocertificazioni, dichiarazioni, requisiti per rateizzazioni) validi per il 2026. Le scelte comunali sopra elencate (aliquote, detrazione abitazione principale, aliquote per comodato e canone concordato, esenzione D/10, obblighi documentali) sono gli esempi principali di differenze operative rispetto al mero quadro nazionale.
Se desidera, posso:
fornirle il prospetto completo delle aliquote e relative note del Comune di Venezia per il 2026;
confrontare una fattispecie concreta (es. seconda casa o comodato) con i calcoli dell’imposta per il 2026.
Quale preferisce?</t>
  </si>
  <si>
    <t>Come si calcola — passaggi e formula
Per determinare l'IMU dovuta su un immobile in categoria A/3 servono questi passaggi:
Individuare la rendita catastale dell'immobile (dalla visura catastale).
Calcolare la base imponibile: Base imponibile = rendita catastale × 1,05 × moltiplicatore (specifico per la categoria catastale).
Applicare l'aliquota comunale pertinente: IMU lorda = Base imponibile × aliquota
Applicare eventuali detrazioni, riduzioni o agevolazioni previste dal Comune (se spettano).
Riproporzionare l'imposta al periodo di possesso nell'anno (es. se posseduto 6 mesi, si applica il 50% dell'imposta annuale, salvo diversa regola).
Calcolare eventuali rate già versate e determinare il saldo o il credito.
Esempio di formula sintetica:
Base imponibile = rendita catastale × 1,05 × moltiplicatore
IMU dovuta = Base imponibile × aliquota − detrazioni (se applicabili)
Aliquota per A/3 (informazione disponibile)
Dalla documentazione comunale valida per il periodo 01/01/2025–31/12/2026, il Comune di Venezia riporta un’aliquota pari a 0,76% (0,0076) per unità in categoria A/3 solo nelle seguenti fattispecie specifiche:
abitazione concessa in comodato d’uso gratuito (con condizioni indicate dal Comune);
abitazione locata con contratto a canone concordato (legge 431/1998 art.2, comma 3);
locazione transitoria per lavoratori (art.5, comma 1 legge 431/1998);
locazione a studenti (art.5, comma 2 legge 431/1998).
Se l’immobile in A/3 non rientra in una di queste fattispecie, l’aliquota applicabile potrebbe essere diversa: è necessario verificare l’aliquota ordinaria o le eventuali altre aliquote/agevolazioni indicate nel prospetto aliquote del Comune.
Informazioni che mi servono per fare un calcolo preciso
Se vuoi che esegua un calcolo concreto, forniscimi:
la rendita catastale (valore numerico);
la situazione dell’immobile (abitazione principale, seconda casa, affittata con canone concordato, comodato, ecc.);
il periodo di possesso nell’anno (es.: 1/1–31/12 o mesi posseduti);
eventuali detrazioni o precedenti versamenti già effettuati (se rilevanti).
Posso quindi mostrarti i passaggi di calcolo e l’importo finale.</t>
  </si>
  <si>
    <t>giusta ma un po' fuorviante, il caso base ha aliquota diversa</t>
  </si>
  <si>
    <t>Informazioni necessarie per determinare l’IMU dovuta
Per calcolare correttamente l’IMU occorrono i seguenti dati:
Dati identificativi e catastali
Comune e indirizzo dell’immobile (località, via, civico, eventuale piano/interno).
Dati catastali: sezione (se esiste), foglio, particella, subalterno.
Categoria catastale, classe e rendita catastale aggiornata al 1° gennaio dell’anno di riferimento.
Tipologia e caratteristiche dell’immobile
Tipo: abitazione principale, seconda casa, pertinenza, fabbricato produttivo (gruppo D), area fabbricabile, terreno, bene merce, ecc.
Per fabbricati D non accatastati: eventuale valore contabile o altra modalità di determinazione prevista.
Dati di possesso
Proprietario/possessori e quote di possesso (percentuali).
Periodo di possesso nell’anno (date di inizio/fine possesso o mesi), per il frazionamento proporzionale.
Elementi che influenzano la base imponibile
Rendita catastale (per i fabbricati) e relativo moltiplicatore applicabile secondo la categoria.
Per aree fabbricabili: valore venale al 1° gennaio.
Eventuali variazioni di rendita intervenute durante l’anno (con data di efficacia).
Aliquota e detrazioni/applicabili
Aliquota IMU deliberata dal Comune per la categoria/tipologia dell’immobile.
Detrazioni comunali o nazionali (es. detrazione per abitazione principale e relative pertinenze) e loro importo/periodo di applicazione.
Eventuali riduzioni previste (es. riduzione 50% per immobili inagibili, storici ecc.) e la loro durata.
Condizioni particolari o agevolazioni
Presenza di comodato d’uso, locazione a canone concordato, assegnazione a IACP, o altre situazioni che danno diritto a agevolazioni (contratto registrato, requisiti del comodante/comodatario).
Stato di inagibilità/inabitabilità con eventuale accertamento tecnico e periodo di efficacia.
Qualsiasi altro requisito richiesto dal Regolamento comunale (es. limiti per pertinenze, numero massimo di pertinenze agevolabili).
Documentazione utile
Copia del certificato catastale/visura per verificare rendita e categoria.
Eventuali contratti (comodato, locazione) registrati.
Per fabbricati D: scritture contabili o documentazione che ne determinano il valore.
Formula di calcolo (schema)
Base imponibile (fabbricato) = rendita catastale × 1,05 × moltiplicatore
IMU = base imponibile × aliquota
Se applicabile: detrazioni e frazionamento per periodo di possesso/quote
Esempio operativo: per procedere al calcolo concreto ho bisogno almeno di:
rendita catastale,
categoria catastale,
quota di possesso,
periodo di possesso nell’anno,
aliquota comunale applicabile,
eventuale detrazione o riduzione da applicare.
Se vuole, mi fornisca i dati elencati qui sopra per l’immobile in oggetto e le preparo il calcolo dettagliato.</t>
  </si>
  <si>
    <t>Aliquota applicabile
Se l'unità A/1 è l’abitazione principale del possessore (con le relative pertinenze): aliquota 0,64%.
Nota: si applica solo se l’immobile è effettivamente qualificabile come abitazione principale (residenza anagrafica e dimora abituale).
Se l’unità A/1 non è abitazione principale (es. seconda casa o altro uso): aliquota 1,10%.
(Le aliquote sopra sono quelle deliberate per il periodo di validità del prospetto comunale approvato e riportate nel relativo prospetto comunale.)
Agevolazioni / riduzioni possibili per un edificio storico A/1
Riduzione della base imponibile del 50% per i fabbricati di interesse storico o artistico riconosciuti ai sensi dell’art. 10 del d.lgs. 22/01/2004, n. 42.
Condizione: l’immobile deve rientrare fra quelli qualificati come "di interesse storico o artistico" secondo il d.lgs. 42/2004; la riduzione si applica alla base imponibile IMU (non è una riduzione diretta dell’aliquota).
Detrazione di €200 (fino a concorrenza) prevista a livello nazionale per l’abitazione principale classificata nelle categorie A/1, A/8, A/9.
Si applica solo se l’unità è effettivamente abitazione principale e per il periodo di possesso; se l’immobile è posseduto in comunione, la detrazione si ripartisce tra i possessori.
Adempimenti e precisazioni pratiche
Verificare che l’immobile sia formalmente riconosciuto come “fabbricato di interesse storico o artistico” ai sensi del d.lgs. 42/2004: tale requisito è essenziale per ottenere la riduzione del 50%.
Se si intende beneficiare della riduzione per immobile storico, è necessario indicare il relativo codice nella dichiarazione IMU (alla presentazione o variazione della dichiarazione, se richiesto).
L’agevolazione per abitazione principale (aliquota ridotta e detrazione) vale solo per un immobile per nucleo familiare e solo quando ricorrono i requisiti di residenza/dimora abituale.
Per casi particolari (es. porzione di immobile, più titoli di possesso, accatastamenti particolari) può essere necessario verificare la fattispecie specifica.
Se vuole, posso verificare la qualifica di “fabbricato storico” per il suo immobile (mi servirebbe indicare se esiste un vincolo o un provvedimento Soprintendenza / beni culturali) oppure fornire i passi pratici per compilare la dichiarazione IMU.</t>
  </si>
  <si>
    <t>Differenza tra abitazione principale, seconda casa e altri immobili ai fini dell’IMU
Abitazione principale
Definizione: è l’unità immobiliare nella quale il possessore e i componenti del suo nucleo familiare dimorano abitualmente e risiedono anagraficamente.
Pertinenze: sono considerate pertinenze dell’abitazione principale solo le categorie catastali C/2, C/6 e C/7, e al massimo una unità per ciascuna categoria.
Trattamento IMU: in generale esente dall’IMU (salvo se classata nelle categorie A/1, A/8, A/9, per le quali l’esenzione non si applica). Per le unità A/1, A/8 e A/9 è prevista una specifica detrazione prevista dalla normativa nazionale (es. detrazione fino a €200 rapportata al periodo).
Nota: alcune fattispecie sono assimilate all’abitazione principale (es. alloggi sociali, assegnazioni cooperative, casa familiare assegnata al genitore affidatario, casi di personale in servizio permanente, anziani/disabili ricoverati a certe condizioni): per queste è previsto il medesimo regime ai fini IMU se ricorrono i requisiti indicati.
Seconda casa
Non rientra nella definizione di abitazione principale: è un immobile posseduto che non è destinato a dimora abituale/residenza del possessore o del nucleo familiare.
Trattamento IMU: soggetta a tassazione con aliquota per gli immobili diversi dall’abitazione principale; il Comune può stabilire aliquote diverse nell’ambito dei limiti previsti dalla legge nazionale.
Altri immobili
Comprendono tutte le unità diverse dall’abitazione principale e dalle sue pertinenze (es. locali commerciali, uffici, fabbricati rurali strumentali, terreni agricoli, pertinenze non rientranti nelle categorie C/2–C/6–C/7, ecc.).
Trattamento IMU: tassati secondo le aliquote previste per le rispettive categorie; per alcune fattispecie la normativa nazionale o il regolamento comunale possono prevedere esenzioni (es. fabbricati rurali strumentali, alcune categorie E, immobili in corso di costruzione per vendita dall’impresa costruttrice, terreni agricoli in particolari condizioni).
Punti pratici importanti
Le pertinenze dell’abitazione principale non sono tassate separatamente: seguono il regime dell’abitazione cui pertengono (ma solo se rientrano nelle categorie C/2, C/6, C/7 e nei limiti indicati).
L’esenzione o le aliquote applicabili possono variare per specifiche fattispecie e per decisione del Comune; per alcune agevolazioni il Comune richiede dichiarazione o autocertificazione.
Le categorie catastali A/1, A/8, A/9 costituiscono un’eccezione: anche se adibite ad abitazione principale, non godono dell’esenzione automatica prevista per le abitazioni principali.
Se desidera, posso verificare e riportare le aliquote e le eventuali agevolazioni specifiche attualmente deliberate dal Comune di Venezia per il 2026 (servirà conferma se vuole che proceda).</t>
  </si>
  <si>
    <t>Sintesi breve
L’unità abitativa A/2 adibita ad abitazione principale del possessore è esente da IMU (salvo diversa disposizione comunale), perchè l’esenzione si applica alle abitazioni principali escluse le categorie A/1, A/8, A/9 — A/2 non è tra quelle escluse.
Il box auto rientra nella categoria catastale C/2: se qualificato come pertinenza dell’abitazione principale (massimo 1 unità per la categoria C/2) segue lo stesso regime dell’abitazione principale e quindi, se tutte le condizioni si verificano, è esente da IMU.
Regole principali applicabili al suo caso
Definizione pertinenze: sono considerate pertinenze rilevanti per l’abitazione principale esclusivamente le unità classificate C/2, C/6, C/7, nella misura massima di una unità per ciascuna categoria.
Se il box (C/2) è effettivamente pertinenza dell’abitazione principale (cioè destinato a servizio dell’abitazione e riconducibile civilisticamente come pertinenza), non costituisce presupposto d’imposta e quindi è esente insieme all’abitazione principale.
Le agevolazioni/detrazioni specifiche (es. detrazione di €200 o aliquota agevolata 0,5%) previste dalla normativa nazionale si applicano solo quando l’abitazione principale è classificata A/1, A/8 o A/9; nel suo caso (A/2) tali disposizioni non sono applicabili.
Limite pratico: può avere al massimo un box C/2 che beneficia del regime della pertinenza; se possiede più box C/2 solo uno può essere considerato pertinenza agevolata.
Aspetti pratici e indicazioni operative
Accertare che il box sia catastalmente classificato C/2 e che sia effettivamente destinato a pertinenza dell’abitazione principale (non locato separatamente).
Verificare se il Comune richiede una dichiarazione/autocertificazione IMU per beneficiare dell’esenzione per abitazione principale e pertinenze; se richiesta, presentarla nei termini indicati.
Se il box viene affittato o utilizzato separatamente, perde lo status di pertinenza e sarà soggetto a IMU come “altri fabbricati”.
Se vuole, posso verificare nello specifico se per il Comune di Venezia è attualmente richiesta una dichiarazione comunale per usufruire dell’esenzione: mi conferma che desidera che controlli questa informazione?</t>
  </si>
  <si>
    <t>Categorie catastali considerate ai fini dell’IMU (sintesi)
Di norma l’IMU si applica a tutte le categorie catastali; per chiarezza rilevano in particolare le seguenti indicazioni della disciplina nazionale (applicabile anche al Comune di Venezia salvo diverse previsioni comunali):
Gruppo A (abitazioni) — con particolare rilievo per:
A/1, A/8, A/9: sono eccezione all’esenzione dell’abitazione principale (ossia l’abitazione principale classificata in queste categorie costituisce presupposto d’imposta);
altre categorie del gruppo A (es. A/2, A/3, A/4, A/5, A/7, A/10) seguono il trattamento generale o quello specificato dal regolamento comunale.
Gruppo B (unità collabenti o assimilate): considerate con i moltiplicatori e regole ordinarie.
Gruppo C (pertinenze e altri locali):
C/1 (negozi): trattamento specifico nelle regole di base imponibile;
C/2, C/6, C/7: categorie ammesse come pertinenze dell’abitazione principale (massimo una unità per ciascuna categoria) e quindi rilevanti per l’eventuale esenzione/agevolazione delle pertinenze dell’abitazione principale.
Gruppo D (fabbricati produttivi e speciali):
alcune categorie del gruppo D (ad es. D/5) e le altre categorie D hanno moltiplicatori e regole distinti ai fini della base imponibile e dell’aliquota.
Gruppo E (categorie speciali, es. E/1–E/9): molte di queste tipologie sono esenti dall’IMU quando ricorrono le condizioni previste dalla normativa.
Altre osservazioni rilevanti (da normativa nazionale):
Le pertinenze dell’abitazione principale sono limitate alle categorie C/2, C/6, C/7 (max una per categoria).
Le categorie e i gruppi sopra richiamati vengono anche utilizzati per determinare i moltiplicatori di conversione della rendita catastale in base imponibile (diversi moltiplicatori per A, B, C1, D ecc.).
Esenzioni, riduzioni o aliquote particolari possono essere disciplinate dal Regolamento e dalle delibere comunali: per casi specifici (es. fabbricati rurali strumentali, immobili di culto, beni dello Stato, ecc.) occorre verificare le previsione comunali o casi previsti dalla normativa.
Se desidera, posso:
elencare le categorie catastali complete con brevi definizioni, oppure
verificare se il Regolamento comunale del Comune di Venezia introduce eccezioni o aliquote specifiche per particolari categorie (ciò richiede una ricerca mirata).</t>
  </si>
  <si>
    <t>Non molto chiaro</t>
  </si>
  <si>
    <t>Risposta breve
Possono beneficiare del trattamento per l’abitazione principale fino a tre pertinenze, con il limite di una unità pertinenziale per ciascuna delle categorie C/2, C/6 e C/7 (quindi al massimo 1 C/2 + 1 C/6 + 1 C/7).
Nota
Le pertinenze devono essere effettivamente classificate in una delle suddette categorie catastali; non sono computate altre categorie. Questa regola si applica al trattamento riservato all’abitazione principale.</t>
  </si>
  <si>
    <t>Risposta breve
Se un immobile è utilizzato esclusivamente per attività di volontariato svolte con modalità non commerciali, può beneficiare di esenzione totale dall’IMU ai sensi della disciplina nazionale. Inoltre il Comune di Venezia prevede, nel proprio quadro di disposizioni comunali, la possibilità di esenzione per immobili dati in comodato gratuito a enti non commerciali o al Comune, se destinati esclusivamente agli scopi istituzionali/statutari.
Dettagli principali
Esenzione nazionale: sono esenti gli immobili posseduti e utilizzati dai soggetti indicati dall’art. 7, comma 1, lett. i) del D.Lgs. 30/12/1992, n.504, se destinati esclusivamente allo svolgimento con modalità non commerciali delle attività previste. Questo vale quando non esiste scopo di lucro e l’attività non è in concorrenza con operatori di mercato.
Comodato gratuito: il Comune può prevedere, tramite regolamento, l’esenzione per immobili dati in comodato gratuito al Comune o a enti non commerciali, se l’immobile è destinato esclusivamente all’esercizio degli scopi istituzionali/statutari del beneficiario. Nel quadro informativo comunale questa fattispecie è richiamata per il Comune di Venezia.
Utilizzo misto o parziale: se l’immobile è usato solo in parte per attività non commerciali o è destinato anche ad attività commerciali, l’esenzione si applica proporzionalmente alla quota effettiva di utilizzo non commerciale (es. superficie effettiva dedicata, giorni di utilizzo, numero di prestazioni, ecc.), secondo i criteri operativi previsti dalle istruzioni nazionali.
Condizioni di esclusività e non commercialità: l’esenzione richiede che l’uso sia effettivamente non commerciale. Le autorità fiscali possono valutare elementi come corrispettivi praticati, modalità di erogazione del servizio, comparazione con analoghe attività commerciali. Se l’attività ha carattere commerciale, l’immobile è imponibile.
Cosa fare concretamente
Verificare che l’attività svolta rientri fra quelle indicate dall’art. 7, comma 1, lett. i) (attività assistenziali, ricreative, culturali ecc.) e che sia svolta con modalità non commerciali.
Se l’immobile è usato parzialmente, quantificare la quota di utilizzo non commerciale (superficie, giorni, prestazioni) per la determinazione dell’esenzione proporzionale.
Presentare, se richiesto dall’Ufficio Tributi comunale, la documentazione che attesti la natura non commerciale e l’esclusività dell’uso (statuto, modalità di svolgimento attività, eventuale contratto di comodato, planimetrie, dati sulle prestazioni).
Contattare l’Ufficio Tributi del Comune di Venezia per conferma operativa della fattispecie e per le modalità di richiesta/accertamento dell’esenzione.
Se desidera, posso verificare nel Regolamento Comunale o indicare i riferimenti normativi precisi utili a presentare la domanda: mi conferma che devo cercare il testo del regolamento comunale del Comune di Venezia relativo all’IMU (anno 2026)?</t>
  </si>
  <si>
    <t>Le fonti disponibili prevedono una specifica esenzione IMU per il fatto che un immobile sia utilizzato esclusivamente come ente non commerciale. Bisogna compilare una dichiarazione specifica. L'esenzione vale solamente se non è usato a scopo commerciale</t>
  </si>
  <si>
    <t>Risposta breve
Se la scadenza del pagamento dell'IMU cade di domenica (o in altro giorno festivo), il versamento è considerato tempestivo se effettuato il primo giorno lavorativo successivo.
Riferimento normativo
Questa regola è prevista dalla normativa vigente che dispone che i termini per il pagamento ricadenti di sabato o festivi si intendono rispettati se adempiuti il primo giorno lavorativo successivo (cfr. decreto‑legge 31/05/1994, n. 330, art. 6, comma 8).
Se desidera, posso verificare eventuali istruzioni operative specifiche del Comune di Venezia (ad es. modalità consigliate per il pagamento tramite home banking o sportelli) per l'anno di riferimento.</t>
  </si>
  <si>
    <t>Posso aiutare a calcolare l’IMU, ma per farlo ho bisogno di alcuni dati specifici. Per favore fornisci solo le informazioni richieste qui sotto:
Dati necessari
Rendita catastale dell’unità immobiliare (importo, come da visura catastale).
Categoria catastale (es. A/1, A/2, A/10, C/2, D/10, ecc.).
Tipo di possesso (proprietà, n°% comproprietà, usufrutto, altro) e percentuale di possesso (es. 100%, 50%).
Destinazione d’uso: abitazione principale, seconda casa, pertinenza, fabbricato rurale strumentale, area fabbricabile, terreno agricolo, ecc.
Eventuali situazioni agevolative o esclusive applicabili (es. comodato d’uso gratuito a parenti in linea retta con requisiti, locazione a canone concordato, immobile non locato per decorso ricovero in istituto, ecc.). Se sì, indica documentazione/autocertificazione disponibile.
Periodo di possesso nel corso dell’anno (date di acquisto/vendita o variazione di possesso, se non per tutto l’anno).
Se disponibile: eventuali detrazioni comunali già conosciute o dichiarate.
Se preferisci, puoi inviare i dati per una singola unità o per più immobili (specificando per ciascuno i punti sopra).
Dopo aver ricevuto le informazioni, procederò con:
calcolo della base imponibile (mostrando la formula e i passaggi);
applicazione dell’aliquota comunale corrispondente;
eventuali detrazioni/percentuali pro rata per periodo di possesso;
importo IMU risultante (con indicazione dei versamenti già effettuati, se forniti).
Nota: alcune aliquote e agevolazioni comunali sono già verificate nelle fonti comunali; se ritengo necessaria ulteriore verifica normativa per il caso specifico, te lo segnalerò prima di procedere.</t>
  </si>
  <si>
    <t>Seconda casa (anno di riferimento: 2026)
Definizione: per “seconda casa” si intende un’unità immobiliare diversa dall’abitazione principale del possessore (cioè non il suo domicilio anagrafico principale).
Aliquota applicata nel 2026: 1,10% (aliquota deliberata per il periodo 01/01/2025–31/12/2026).
Riduzioni particolari: se l’immobile è locato a canone concordato la base imponibile si tassa con una riduzione prevista dalla normativa nazionale (imposta ridotta al 75% dell’importo calcolato con l’aliquota comunale).
Come si calcola (formula)
Base imponibile = rendita catastale × 1,05 × moltiplicatore (moltiplicatore per abitazioni = 160, salvo diversa indicazione normativa).
IMU = Base imponibile × aliquota
Esempio di passaggi da seguire (senza valori specifici):
Rendita catastale (da visura) × 1,05 = rendita rivalutata
Rendita rivalutata × 160 = base imponibile
Base imponibile × 1,10% = IMU dovuta (prima di eventuali riduzioni o acconti)
Note pratiche
Se l’immobile ha pertinenze, queste possono essere trattate separatamente (verificare categorie catastali e regole sulle pertinenze dell’abitazione principale).
Il pagamento segue le scadenze IMU comunali ordinarie (acconto e saldo); per le date precise verifica il calendario scadenze IMU del Comune di Venezia.
Per un calcolo preciso oppure per casi particolari (locazione a canone concordato, comodato d’uso, AIRE, immobili sfitti, appartamenti di categoria A/1/A/8/A/9 ecc.) posso calcolare l’importo se mi fornisci: rendita catastale, periodo di possesso nell’anno e l’eventuale situazione contrattuale.
Vuoi che calcoli l’IMU sulla tua seconda casa? Se sì, indicami rendita catastale e i mesi posseduti nel 2026 (o altri dati rilevanti).</t>
  </si>
  <si>
    <t>Posso rispondere solamente a informazioni riguardanti l'IMU del Comune di Venezia dal 2024 in poi.</t>
  </si>
  <si>
    <t>Cos’è l’IMU
L’IMU è l’Imposta Municipale Propria: si applica sul possesso di immobili nel Comune di Venezia.
Non è dovuta, in via generale, per l’abitazione principale e le sue pertinenze, salvo che l’immobile sia classificato nelle categorie catastali A/1, A/8 o A/9.
Chi deve pagarla
Sono tenuti al pagamento i soggetti passivi, cioè:
il proprietario;
il titolare di usufrutto, uso, abitazione, enfiteusi o superficie;
il genitore assegnatario della casa familiare con provvedimento del giudice;
il concessionario per le aree demaniali;
il locatario nei contratti di locazione finanziaria.
In sintesi
L’IMU si paga quindi quando si possiede un immobile che non rientra nell’esenzione per abitazione principale, oppure quando si rientra in una fattispecie espressamente prevista dalla legge o dal regolamento comunale.
IMU - Comune di Venezia</t>
  </si>
  <si>
    <t>Notes for RAG</t>
  </si>
  <si>
    <t>Notes for Prompt-based</t>
  </si>
  <si>
    <t>Principali categorie di immobili soggette all’IMU
Sono soggetti all’IMU, in generale, gli immobili posseduti come fabbricati, aree fabbricabili e terreni agricoli.
In pratica
Fabbricati: unità immobiliari iscritte o da iscrivere in catasto con rendita catastale.
Aree fabbricabili: aree utilizzabili a scopo edificatorio.
Terreni agricoli: terreni iscritti in catasto, anche se non coltivati.
Nota importante
Non costituisce presupposto dell’IMU il possesso dell’abitazione principale e delle relative pertinenze, salvo il caso delle abitazioni classificate nelle categorie catastali A/1, A/8 e A/9.
Riferimento utile
IMU - Comune di Venezia</t>
  </si>
  <si>
    <t>Aliquota IMU per i terreni agricoli
Per il Comune di Venezia, l’aliquota ordinaria per i terreni agricoli è 0,76%.
Aliquota IMU: 0,76%
Attenzione alle esenzioni
Non si paga l’IMU sui terreni agricoli esenti per legge, ad esempio quelli posseduti e condotti da coltivatori diretti o imprenditori agricoli professionali iscritti alla previdenza agricola.
Riferimento utile
Aliquote e scadenze IMU</t>
  </si>
  <si>
    <t>Scadenze IMU
Per l’anno 2026, il pagamento dell’IMU va effettuato in due rate:
16 giugno: acconto
16 dicembre: saldo
È comunque possibile versare l’imposta complessivamente dovuta in un’unica soluzione entro il 16 giugno.
Se la scadenza cade di sabato o in un giorno festivo, il versamento è considerato tempestivo se effettuato il primo giorno lavorativo successivo.</t>
  </si>
  <si>
    <t>Modalità di pagamento dell’IMU
Il pagamento dell’IMU nel Comune di Venezia si effettua esclusivamente con le modalità previste dalla normativa:
Modello F24
Bollettino postale
Piattaforma digitale prevista dal Codice dell’Amministrazione Digitale, quando disponibile
Pagamento dall’estero
Se il pagamento con F24 non è possibile dall’estero, i contribuenti residenti all’estero possono usare il bonifico bancario:
Quota Comune:
IBAN IT 44 I 03069 02117100000065727
BIC BCITITMM
Quota Stato: solo per immobili in categoria catastale D
IBAN IT02G0100003245348006108000
BIC BITAITRRENT
Note utili
Nel bonifico vanno indicati codice fiscale o partita IVA, “IMU”, Comune di Venezia, codici tributo, anno di riferimento e se si tratta di acconto o saldo.
L’IMU si paga normalmente in due rate: 16 giugno e 16 dicembre.
In alternativa è possibile versare in un’unica soluzione entro il 16 giugno.
IMU - Comune di Venezia</t>
  </si>
  <si>
    <t>Principali differenze tra disciplina nazionale e disciplina del Comune di Venezia
La disciplina nazionale definisce le regole generali dell’IMU: presupposto d’imposta, soggetti passivi, base imponibile, aliquote di base, esenzioni, versamenti e dichiarazioni.
Il Comune di Venezia interviene invece con il proprio regolamento e con le aliquote per disciplinare aspetti specifici e locali, nei limiti consentiti dalla legge.
Differenze rilevanti a Venezia
Agevolazioni locali aggiuntive: ad esempio per anziani o disabili ricoverati in istituti, per abitazioni locate in alcune fattispecie e per immobili dati in comodato gratuito al Comune.
Aliquote deliberate dal Comune: Venezia applica aliquote proprie per varie casistiche; se non sono state approvate nuove aliquote, valgono quelle dell’anno precedente.
Versamento minimo: a Venezia l’IMU non si versa se l’importo annuo è pari o inferiore a 12 euro.
Arrotondamento: il Comune stabilisce l’arrotondamento all’euro per difetto o per eccesso in base ai centesimi.
Interessi: il regolamento comunale prevede interessi pari al tasso legale, con maturazione giorno per giorno.
Compensazioni: Venezia consente la compensazione di crediti d’imposta solo previa autorizzazione comunale.
Rateazione degli avvisi di accertamento: il Comune disciplina importi, numero massimo di rate, importo minimo della rata e garanzie richieste.
Modalità integrative di dichiarazione/autocertificazione: il Comune prevede ulteriori modalità di presentazione e regole sui termini per le autocertificazioni.
In sintesi
La norma nazionale dà il quadro generale; il Comune di Venezia può dettagliare, agevolare o organizzare alcuni aspetti applicativi, soprattutto su aliquote, esenzioni locali, versamenti minimi, rateazioni e adempimenti dichiarativi.</t>
  </si>
  <si>
    <t>Regola da applicare
Nel caso in cui una disposizione comunale differisca da quella prevista dalla normativa nazionale, per l’IMU del Comune di Venezia si applica la disposizione comunale.
Questo perché, in caso di contrasto, le informazioni contenute nel Regolamento Comunale e nelle Aliquote prevalgono su quelle del Regolamento Nazionale, quando la fattispecie è di competenza comunale.
In caso di contraddizioni, prevale la disciplina comunale.</t>
  </si>
  <si>
    <t>Abitazione principale A/1, A/8 e A/9 nel Comune di Venezia
Per questa fattispecie valgono sia la disciplina nazionale sia l’aliquota deliberata dal Comune.
Valore nazionale
Aliquota di base nazionale: 0,50%
Il Comune può aumentarla di 0,1 punti o ridurla fino a zero
Detrazione nazionale: 200 euro per l’abitazione principale, rapportati al periodo di effettiva destinazione
Valore applicabile nel Comune di Venezia
Aliquota comunale vigente: 0,64%
Si applica all’abitazione principale classificata in A/1, A/8 o A/9 e alle pertinenze ammesse
Restano applicabili anche la detrazione di 200 euro e le regole nazionali sulla ripartizione tra più soggetti passivi
Nota per il 2026
Per il 2026 non risultano ancora nuove aliquote emanate; quindi, in assenza di nuove delibere, si applicano le aliquote del 2025
In sintesi
Norma nazionale: 0,50%
Comune di Venezia: 0,64%
Detrazione nazionale: 200 euro
Se vuoi, posso anche indicarti il calcolo IMU per un caso concreto di abitazione A/1, A/8 o A/9.</t>
  </si>
  <si>
    <t>Sì, in linea generale
Un immobile in categoria catastale A/2 è soggetto a IMU nel Comune di Venezia se non è abitazione principale.
Quando non si paga
L’IMU non è dovuta se l’immobile A/2 è adibito ad abitazione principale del possessore e del suo nucleo familiare, con residenza anagrafica e dimora abituale, salvo pertinenze e casi assimilati previsti dalla legge.
In sintesi
A/2 non è esente per categoria
è esente solo se rientra nell’abitazione principale o in una fattispecie assimilata/esente
se è una seconda casa, l’IMU è dovuta</t>
  </si>
  <si>
    <t>Agevolazione per anziani o disabili
Per beneficiare dell’agevolazione IMU a Venezia, devono essere rispettate queste condizioni:
il proprietario deve essere anziano o disabile;
deve aver acquisito la residenza in un istituto di ricovero o sanitario a seguito di ricovero permanente;
l’immobile deve non risultare locato;
l’unità immobiliare deve essere stata abitazione principale fino al momento del trasferimento nella struttura di ricovero;
in caso di più immobili, l’agevolazione può essere applicata a una sola unità immobiliare.
Inoltre, per l’agevolazione è richiesta la presentazione dell’autocertificazione entro il termine previsto per la dichiarazione IMU.</t>
  </si>
  <si>
    <t>Calcolo IMU per un immobile A/3
Per un immobile categoria catastale A/3 il calcolo dell’IMU, nel Comune di Venezia, si fa così:
Rendita catastale × 1,05 × 160 × aliquota × quota di possesso × mesi di possesso / 12
Aliquota da applicare
Per le unità A/3 non adibite ad abitazione principale, in assenza di una diversa delibera per il 2026 si applica l’aliquota 2025, cioè 1,10%.
Attenzione
Se l’immobile è la tua abitazione principale e non è in categoria A/1, A/8 o A/9, l’IMU non è dovuta.
Per l’A/3 non spetta la detrazione di 200 euro, perché la detrazione vale solo per A/1, A/8 e A/9.
Se il possesso è stato per una sola parte dell’anno, l’imposta si calcola in proporzione ai mesi di possesso.
Esempio rapido
Se la rendita è € 500, con possesso al 100% per 12 mesi:
500 × 1,05 × 160 × 1,10% = € 924,00
Se vuoi, posso anche calcolarti l’IMU con una rendita specifica.</t>
  </si>
  <si>
    <t>Informazioni necessarie per calcolare l’IMU
Per determinare correttamente l’IMU dovuta per un immobile servono, in sintesi, queste informazioni:
tipo di immobile: abitazione, pertinenza, terreno agricolo, area fabbricabile, fabbricato rurale, immobile categoria D, ecc.;
categoria catastale e, per i fabbricati, la rendita catastale;
quota di possesso del contribuente;
mesi di possesso nell’anno d’imposta;
aliquota applicabile per quella fattispecie;
eventuali agevolazioni, riduzioni o esenzioni spettanti;
per le aree fabbricabili, il valore venale in comune commercio al 1° gennaio;
per i terreni agricoli, il reddito dominicale;
per i fabbricati del gruppo D senza rendita, i dati contabili necessari al calcolo.
Elementi che possono incidere sull’importo
Sono importanti anche eventuali condizioni particolari, ad esempio:
abitazione principale e relative pertinenze;
comodato a parenti di primo grado;
locazione a canone concordato;
inagibilità/inabitabilità;
immobile storico o artistico;
immobile concesso a anziani o disabili non locato;
eventuali esenzioni previste dalla normativa.
Riferimento pratico
Se vuoi verificare aliquote, scadenze e casi agevolati del Comune di Venezia, consulta la pagina:
Aliquote e scadenze</t>
  </si>
  <si>
    <t>Aliquota applicabile
Per un fabbricato storico in categoria A/1 si applica, in linea generale, una delle seguenti aliquote:
0,64% se l’immobile è abitazione principale del possessore;
1,10% se non è abitazione principale e rientra tra gli altri immobili abitativi in categoria A.
Agevolazione per immobile storico
Per i fabbricati di interesse storico o artistico la base imponibile è ridotta del 50%.
Questa riduzione si applica anche agli immobili in categoria A/1.
Se è abitazione principale A/1
In questo caso si può applicare:
aliquota 0,64%;
detrazione di 200 euro;
riduzione del 50% della base imponibile per la storicità dell’immobile.
In sintesi
A/1 storico abitazione principale: 0,64% + detrazione 200 euro + riduzione base imponibile del 50%
A/1 storico non abitazione principale: 1,10% + riduzione base imponibile del 50%</t>
  </si>
  <si>
    <t xml:space="preserve">Per un edificio storico classificato A/1 devono essere considerate le regole previste per gli immobili A/1 e le eventuali riduzioni applicabili agli immobili di interesse storico o artistico. </t>
  </si>
  <si>
    <t>Differenza ai fini IMU
Abitazione principale è l’immobile in cui il possessore dimora abitualmente e risiede anagraficamente; le pertinenze ammesse sono solo C/2, C/6 e C/7, al massimo una per ciascuna categoria.
Per l’abitazione principale ordinaria (non A/1, A/8, A/9) l’IMU non è dovuta.
Se l’abitazione principale è in categoria A/1, A/8 o A/9, l’IMU si paga con aliquota agevolata e con la detrazione di 200 euro.
Seconda casa è, in pratica, un immobile abitativo che non ha i requisiti dell’abitazione principale: quindi è soggetto a IMU come altro fabbricato.
Altri immobili sono tutti gli immobili che non rientrano nell’abitazione principale esente, ad esempio:
abitazioni non adibite a residenza/dimora;
immobili A/10, B, C, D;
aree fabbricabili;
terreni agricoli, salvo esenzioni specifiche.
In sintesi
Abitazione principale = casa di residenza e dimora abituale
Seconda casa = abitazione non principale, quindi tassata
Altri immobili = fabbricati, aree o terreni con regole specifiche
Se vuoi, posso anche indicarti quale aliquota si applica a ciascun caso nel Comune di Venezia.</t>
  </si>
  <si>
    <t>parte sulle pertinenze non centra molto</t>
  </si>
  <si>
    <t>Regole IMU applicabili
Per una abitazione principale in categoria A/2 non si paga l’IMU sull’immobile e sulle pertinenze ammesse dalla legge.
Box auto come pertinenza
Un box auto rientra tra le pertinenze solo se è classificato come C/6.
Per l’abitazione principale sono ammesse:
una sola unità pertinenziale per ciascuna categoria catastale C/2, C/6 e C/7
Quindi, nel suo caso:
1 box auto C/6 può essere trattato come pertinenza dell’abitazione principale;
se il box è effettivamente destinato a servizio della casa principale, segue il trattamento IMU dell’abitazione principale;
se esiste già un’altra pertinenza C/6 agevolata, un secondo box non può godere della stessa agevolazione.
Effetto pratico
Casa principale A/2: esente IMU
Box auto C/6 pertinenziale: esente IMU
Secondo box C/6: IMU dovuta con aliquota ordinaria
Nota essenziale
Il giardino non cambia di per sé il trattamento IMU della casa; ai fini IMU conta soprattutto il classamento catastale e la qualificazione del box come pertinenza.</t>
  </si>
  <si>
    <t>Categorie catastali ai fini IMU
Ai fini dell’IMU, le categorie catastali rilevanti sono quelle dei gruppi A, B, C, D ed E; inoltre esistono le categorie F che, in generale, non sono fabbricati con rendita catastale e quindi hanno un trattamento diverso.
Gruppo A
A/1 abitazioni di tipo signorile
A/2 abitazioni di tipo civile
A/3 abitazioni di tipo economico
A/4 abitazioni di tipo popolare
A/5 abitazioni di tipo ultrapopolare
A/6 abitazioni di tipo rurale
A/7 abitazioni in villini
A/8 abitazioni in ville
A/9 castelli e palazzi di eminenti pregi artistici o storici
A/10 uffici e studi privati
A/11 abitazioni e alloggi tipici dei luoghi
Gruppo B
B/1 collegi, convitti, ricoveri, orfanotrofi, ospizi, conventi, seminari, caserme
B/2 case di cura e ospedali
B/3 prigioni e riformatori
B/4 uffici pubblici
B/5 scuole e laboratori scientifici
B/6 biblioteche, pinacoteche, musei, gallerie, accademie
B/7 cappelle ed oratori non destinati al culto pubblico
B/8 magazzini sotterranei per depositi di derrate
Gruppo C
C/1 negozi e botteghe
C/2 magazzini e locali di deposito
C/3 laboratori per arti e mestieri
C/4 fabbricati e locali per esercizi sportivi
C/5 stabilimenti balneari e di acque curative
C/6 stalle, scuderie, rimesse e autorimesse
C/7 tettoie chiuse o aperte
Gruppo D
D/1 opifici
D/2 alberghi e pensioni
D/3 teatri, cinematografi, sale per concerti e spettacoli
D/4 case di cura e ospedali
D/5 istituti di credito, cambio ed assicurazione
D/6 fabbricati per esercizi sportivi
D/7 fabbricati per speciali esigenze industriali
D/8 fabbricati per speciali esigenze commerciali
D/9 edifici galleggianti o sospesi
D/10 fabbricati per funzioni produttive connesse alle attività agricole
Gruppo E
E/1 stazioni per servizi di trasporto terrestri, marittimi ed aerei
E/2 ponti comunali e provinciali soggetti a pedaggio
E/3 costruzioni e fabbricati per speciali esigenze pubbliche
E/4 recinti chiusi per speciali esigenze pubbliche
E/5 fortificazioni e loro dipendenze
E/6 fari, semafori, torri per l’uso pubblico dell’orologio comunale
E/7 fabbricati destinati all’uso pubblico dei culti
E/8 fabbricati e costruzioni nei cimiteri
E/9 edifici a destinazione particolare non compresi nelle categorie precedenti
Categorie F
F/1 area urbana
F/2 unità collabente
F/3 unità in corso di costruzione
F/4 unità in corso di definizione
F/5 lastrico solare
F/6 fabbricato in attesa di dichiarazione
F/7 infrastrutture di reti pubbliche di comunicazione
Nota utile
Per l’IMU contano anche le pertinenze dell’abitazione principale, che sono solo le categorie C/2, C/6 e C/7, entro il limite di una per ciascuna categoria.
Se vuoi, posso anche indicarti quali categorie sono esenti, agevolate o soggette ad aliquota ordinaria nel Comune di Venezia.</t>
  </si>
  <si>
    <t>Pertinenze dell’abitazione principale
Possono beneficiare del trattamento previsto per l’abitazione principale fino a 3 pertinenze, una per ciascuna delle seguenti categorie catastali:
C/2
C/6
C/7
Limite importante
Per ciascuna categoria è ammessa al massimo una sola pertinenza, anche se iscritta insieme all’abitazione.
Quindi: 1 C/2 + 1 C/6 + 1 C/7.</t>
  </si>
  <si>
    <t>Agevolazioni ed esenzioni
Per un immobile utilizzato esclusivamente per attività di volontariato, l’eventuale esenzione IMU può applicarsi solo se il soggetto possessore rientra tra gli enti non commerciali e l’immobile è destinato esclusivamente allo svolgimento di attività non commerciali.
Sono esenti gli immobili posseduti e utilizzati dai soggetti di cui alla lettera g) del comma 759 e destinati esclusivamente allo svolgimento con modalità non commerciali delle attività previste dalla norma.
In pratica
Non basta che l’attività sia di volontariato in sé;
serve che l’immobile sia in capo a un ente non commerciale e sia usato solo per attività non commerciali;
se l’utilizzo è misto o anche solo in parte commerciale, l’esenzione non si applica per l’intero immobile.
Ulteriore casistica comunale
È prevista inoltre l’esenzione per gli immobili dati in comodato gratuito al Comune esclusivamente per i suoi scopi istituzionali o statutari.
Nota finale
Se l’immobile è utilizzato da un’associazione di volontariato, la verifica va fatta sulla natura del soggetto e sull’uso effettivo dell’immobile: solo in presenza dei requisiti previsti si può parlare di esenzione.</t>
  </si>
  <si>
    <t>Scadenza che cade di domenica
Se la scadenza del pagamento cade di domenica, il versamento è considerato tempestivo se effettuato il primo giorno lavorativo successivo.
Quindi, se il termine scade di domenica, puoi pagare il lunedì senza incorrere in ritardo.</t>
  </si>
  <si>
    <t>Mi servono alcuni dati per calcolarla
Per dirti quanto devi pagare di IMU sul Comune di Venezia, mancano informazioni essenziali.
Per il calcolo servono almeno:
categoria catastale dell’immobile;
rendita catastale;
quota di possesso;
mesi di possesso nell’anno;
uso dell’immobile: abitazione principale, locazione, comodato, terreno, area fabbricabile, ecc.
Se mi indichi questi dati, posso calcolarti l’importo.</t>
  </si>
  <si>
    <t>Seconda casa
Per una seconda casa nel Comune di Venezia l’IMU è dovuta.
In via generale, se si tratta di un immobile ad uso abitativo che non è abitazione principale, l’aliquota applicata è quella prevista per gli “altri immobili”.
Aliquota ordinaria per gli immobili abitativi non agevolati: 1,10%
Se invece l’immobile rientra in una fattispecie particolare, può avere un’aliquota diversa, ad esempio per:
locazione a canone concordato;
comodato a parenti di primo grado;
immobili in categoria catastale D, terreni o aree fabbricabili.
Per il 2026, in assenza di nuove delibere, si applicano le aliquote deliberate per il 2025.
Puoi verificare i dettagli qui: Aliquote e scadenze</t>
  </si>
  <si>
    <t>Assistenza disponibile
Posso fornire assistenza solo sull’IMU del Comune di Venezia.
Per il sito principale IMU del Comune di Venezia: IMU - Comune di Venezia</t>
  </si>
  <si>
    <t>Assistenza disponibile
Posso fornire assistenza solo sull’IMU del Comune di Venezia.
Per informazioni generali sull’IMU, puoi consultare il sito principale: IMU - Comune di Venezia</t>
  </si>
  <si>
    <t>Che cos’è l’IMU
L’Imposta Municipale Propria (IMU) è un tributo comunale dovuto per il possesso di immobili. Il presupposto dell’imposta è il possesso di immobili, con alcune eccezioni previste per l’abitazione principale (salvo le unità classificate A/1, A/8, A/9) e altre fattispecie stabilite dalla normativa.
Chi è tenuto a pagarla
Sono soggetti passivi dell’IMU i possessori degli immobili, ossia:
il proprietario;
i titolari di diritti reali di godimento (usufrutto, uso, abitazione, enfiteusi, superficie);
il locatario nei casi di locazione finanziaria (leasing) dalla data di stipula fino al termine del contratto;
il concessionario per le aree demaniali concesse in uso.
L’imposta è dovuta per anni solari, proporzionalmente alla quota e ai mesi di possesso.
Per informazioni operative (aliquote, scadenze, modulistica) consultare la pagina: IMU - Comune di Venezia.</t>
  </si>
  <si>
    <t>Principali categorie di immobili soggette all'IMU — Comune di Venezia
Abitazione principale (e relative pertinenze C/2, C/6, C/7, max una per categoria): agevolazioni e detrazione specifica; particolari disposizioni per A/1, A/8, A/9.
Altri fabbricati ad uso abitativo o diverso dall’abitazione principale (es. seconde case, uffici A/10, negozi C/1).
Fabbricati del gruppo D (immobili produttivi/industriali/commerciali): gettito in parte riservato allo Stato per alcune tipologie.
Fabbricati rurali ad uso strumentale (categoria D/10 e assimilati): aliquota agevolata prevista.
Terreni agricoli (valutati su reddito dominicale rivalutato; alcune categorie esenti, es. coltivatori diretti iscritti alla previdenza agricola).
Aree fabbricabili (valore venale al 1° gennaio dell’anno o dalla data di adozione degli strumenti urbanistici).
Pertinenze dell’abitazione principale (seguono il trattamento dell’abitazione principale nei limiti previsti).
Note essenziali: per alcune fattispecie (comodato a parenti, locazioni a canone concordato, immobili storici, inagibilità/inabitabilità, anziani/disabili ricoverati, residenti all’estero, cooperative, ecc.) sono previste aliquote o riduzioni specifiche disciplinate dal Regolamento Comunale e dalla normativa nazionale. Per dettagli e aliquote deliberate si consultino le pagine ufficiali del Comune di Venezia.</t>
  </si>
  <si>
    <t>Aliquota per terreni agricoli
Aliquota base nazionale:
0,76% (comma 752, regolamento nazionale).
Comune di Venezia (applicazione locale): il Comune ha deliberato l'aliquota 1,06% per i terreni agricoli nelle aliquote vigenti 2025. Per l'anno 2026 si applicano le aliquote deliberate per il 2025 se non sono state emanate nuove delibere entro i termini previsti.
Per dettagli e conferma dell'aliquota per l'anno d'imposta di tuo interesse consulta la pagina delle aliquote del Comune: Aliquote e scadenze.</t>
  </si>
  <si>
    <t>Scadenze di pagamento IMU (Comune di Venezia)
Rate ordinarie (soggetti privati e la maggior parte dei contribuenti)
1ª rata (acconto) entro il 16 giugno.
2ª rata (saldo) entro il 16 dicembre.
È comunque possibile effettuare il versamento in un’unica soluzione entro il 16 giugno.
Per il calcolo della prima rata si applicano, per il periodo d’imposta in corso, l’aliquota e la detrazione deliberate nell’anno precedente.
Enti non commerciali (art. 1, comma 759, lett. g)
Versamento in tre rate: 1ª entro il 16 giugno (50% dell’imposta dell’anno precedente), 2ª entro il 16 dicembre (50% dell’imposta dell’anno precedente), ultima rata di conguaglio entro il 16 giugno dell’anno successivo.
Avvertenze utili
In assenza di nuove delibere per l’anno, si applicano le aliquote deliberate nell’anno precedente (rectius: verifica sempre il prospetto delle aliquote pubblicato).
Per dettagli su aliquote, codici tributo e modalità di calcolo consulta: Aliquote e scadenze o la pagina principale IMU: IMU - Comune di Venezia.</t>
  </si>
  <si>
    <t>Modalità di pagamento dell'IMU — Comune di Venezia
Modello F24 (modalità principale): tramite i servizi telematici dell’Agenzia delle Entrate (F24 web, F24 online, home banking convenzionati) o, se ammesso, in forma cartacea presso banche, Poste o agenti della riscossione. Per pagamenti con compensazione è obbligatorio l’uso dei servizi telematici.
Codice ente Comune di Venezia: L736.
Codici tributo: usare quelli previsti (es. 3912, 3918, 3914 ecc.).
Bollettino postale / altri strumenti: nei casi compatibili con la normativa e le disposizioni dell’Agenzia delle Entrate è ammesso l’uso del bollettino postale o altri mezzi previsti dal D.Lgs. n. 241/1997.
Ravvedimento operoso: versamento con modello F24, barrando la casella “RAVV”.
Residenti all’estero / contribuenti non in grado di usare F24: possibilità di pagamento tramite bonifico; per il Comune di Venezia (quota comunale) IBAN indicato nelle istruzioni per i residenti estero. Nella causale va indicato codice fiscale, “IMU”, Comune, codice tributo e annualità; inviare copia dell’operazione al Comune per controllo.
Arrotondamento e importi minimi: arrotondamento all’euro (≤ €0,49 per difetto, &gt; €0,49 per eccesso). L’imposta non è versata se complessivamente ≤ €12,00 (art. 7 Regolamento Comunale).
Scadenze: possibilità di versare in due rate (acconto entro il 16 giugno, saldo entro il 16 dicembre) salvo diversa disposizione; il versamento annuale può essere effettuato in unica soluzione entro il 16 giugno (art. 1, commi 762–763 Regolamento Nazionale).
Per dettagli sui codici tributo, compilazione F24 e modalità estere consulta:
IMU - Comune di Venezia
Sezione «Residenti all'estero» nella documentazione del Comune (istruzioni per bonifico e causale).</t>
  </si>
  <si>
    <t>Sintesi delle differenze principali
Di seguito le differenze operative e regolamentari più rilevanti tra la disciplina nazionale dell’IMU (Legge 160/2019 e commi 738–783) e il Regolamento IMU del Comune di Venezia (vigente dal 2020 con successive modifiche):
Determinazione aliquote e scelte locali
La normativa nazionale stabilisce i criteri di base e gli intervalli di aliquote; il Comune di Venezia delibera le aliquote concrete applicate (es. aliquote e percentuali agevolate riportate nelle deliberazioni comunali e nelle tabelle comunali).
Agevolazioni e casi particolari
La legge nazionale prevede le fattispecie agevolabili (abitazione principale, comodato, canone concordato, ecc.). Il Comune di Venezia dettaglia e amplia l’applicazione pratica di tali agevolazioni (es. condizioni e aliquote specifiche per canone concordato, criteri per comodato a parenti, assimilazione per anziani/disabili ricoverati).
Esenzioni comunali aggiuntive
Il Regolamento comunale prevede l’esenzione per gli immobili dati in comodato gratuito al Comune per scopi istituzionali (casistica comunale non automatica dalla norma statale).
Inagibilità / inabitabilità
La legge prevede la riduzione del 50% della base imponibile; il Comune di Venezia disciplina in modo più stringente i requisiti tecnici, le modalità di accertamento (perizia o dichiarazione sostitutiva) e la tariffa per eventuale sopralluogo dell’ufficio tecnico.
Interessi, arrotondamento e versamenti minimi
La legge rinvia alle modalità di versamento e agli interessi legali; il Regolamento comunale indica il criterio di arrotondamento all’euro e stabilisce un versamento minimo di €12 (importo sotto il quale non si versa e non viene rimborsato).
Rateazione e compensazioni
La disciplina nazionale ammette rateazione e compensazioni nei limiti previsti; il Comune di Venezia definisce criteri operativi dettagliati: piani di rateizzazione fino a 120 mesi con scaglioni per importo e condizioni (cauzione per debiti elevati), priorità di imputazione dei pagamenti e revoca in caso di mancato adempimento.
Modalità dichiarative e presentazione autocertificazioni
La legge prevede obblighi dichiarativi; il Comune di Venezia introduce modalità operative aggiuntive (invio via fax/PEC di professionista, procedura informatica comunale, modulistica comunale per autocertificazioni) e termini amministrativi collegati a sanzioni comunali.
Regole amministrative e servizi
Il Regolamento comunale specifica prassi locali: codici tributo adottati per il Comune (codice ente L736), strumenti per la stima delle aree fabbricabili, tariffe per perizie comunali, modalità operative per enti non commerciali ed ENC (pagamenti in tre rate), e disciplina autonoma su compensazioni autorizzate dall’Amministrazione.
Se desidera, posso fornire un confronto mirato su una fattispecie specifica (es. comodato, abitazione principale, fabbricati D, aree fabbricabili) indicando esattamente come la normativa nazionale viene declinata dal Comune di Venezia.</t>
  </si>
  <si>
    <t>Non specifica effetive differenze ed è troppo confusionario</t>
  </si>
  <si>
    <t>Principio applicabile
Prevale il Regolamento Comunale del Comune di Venezia nelle materie di competenza IMU quando una disposizione comunale disciplini in modo diverso rispetto alla normativa nazionale, salvo che la norma comunale sia contrastante con norme statali inderogabili o vincoli di legge che riservino competenze allo Stato (ad es. riserva di gettito per immobili D).
Limiti e condizioni
La disciplina comunale deve rimanere compatibile con le norme statali e con i limiti stabiliti dalla legge nazionale.
Le delibere comunali di aliquote e regolamento devono rispettare gli obblighi di pubblicazione e i termini previsti dalla normativa nazionale per produrre effetti nell’anno d’imposta.
Riferimento operativo
Per valutare caso per caso l’effettiva prevalenza e gli eventuali limiti è necessario consultare il Regolamento Comunale IMU e la normativa statale vigente.</t>
  </si>
  <si>
    <t>Aliquote applicabili — sintesi
Parametro nazionale (valore di riferimento): aliquota di base per l’abitazione principale classificata A/1, A/8, A/9 pari allo 0,50%; dalla stessa norma deriva anche la detrazione di €200 rapportata ai mesi di destinazione (art. 1, commi 748–749, Legge 160/2019).
Limitazioni nazionali: il Comune può aumentare o diminuire tale aliquota nell’ambito delle facoltà previste dalla legge (possibile incremento di +0,10 p.p. o riduzione fino a zero).
Comune di Venezia — applicazione locale
Per gli anni per i quali non sono state adottate nuove deliberazioni, il Comune di Venezia applica l’aliquota comunale dello 0,64% per le unità A/1, A/8, A/9 adibite ad abitazione principale (aliquota deliberata e pubblicata per le annualità recenti).
Resta ferma la possibilità di beneficiare della detrazione statale di €200 (rapportata al periodo di destinazione) se ricorrono i requisiti.
Per dettagli ufficiali e per verificare eventuali aggiornamenti delle aliquote annuali consulta: Aliquote e scadenze - Comune di Venezia.</t>
  </si>
  <si>
    <t>Sintesi
Sì. Un immobile classificato A/2 (abitazione di tipo civile) è soggetto all’IMU nel Comune di Venezia salvo che non si realizzi una specifica esenzione o agevolazione prevista dalle norme.
Come si determina l’imposta
Base imponibile (fabbricati): si parte dalla rendita catastale vigente al 1° gennaio, la si rivaluta del 5% e si applica il coefficiente previsto per il gruppo A (160).
Esempio formula: Rendita × 1,05 × 160
Aliquota applicabile: in mancanza di nuove delibere comunali per il 2026 si applicano le aliquote deliberate per il 2025. Per le unità immobiliari del gruppo A non ricomprese in altre fattispecie (quali A/1, A/8, A/9) il Comune di Venezia ha previsto l’aliquota del 1,10% (verificare annualmente la delibera pubblicata).
Detrazioni: la detrazione di €200 si applica solo alle abitazioni classificate A/1, A/8 e A/9; quindi non spetta per un A/2, salvo altri benefici specifici (comodato, locazione a canone concordato, ecc.) se ricorrono i requisiti.
Riferimenti utili
Informazioni generali IMU: IMU - Comune di Venezia
Aliquote e scadenze comunali: Aliquote e scadenze
Se desidera, posso calcolare l’importo indicativo dell’IMU se mi fornisce la rendita catastale e la quota di possesso.</t>
  </si>
  <si>
    <t>Dovrebbe specificare il caso dell'abotazione principale</t>
  </si>
  <si>
    <t>Requisiti per l’agevolazione (anziani o disabili)
Per beneficiare dell’agevolazione prevista dal Comune di Venezia (art. 2 del Regolamento IMU) l’immobile deve rispettare le seguenti condizioni:
l’interessato ha acquisito la residenza in un istituto di ricovero o sanitario a seguito di ricovero permanente;
l’immobile non risulti locato nel periodo in cui si richiede l’agevolazione;
l’immobile deve essere stato l’abitazione principale dell’anziano o del disabile fino al momento del trasferimento nella struttura di ricovero;
l’agevolazione può essere applicata a una sola unità immobiliare se il soggetto possiede più immobili;
presentazione di autocertificazione attestante i requisiti entro il termine previsto per la dichiarazione IMU (l’autocertificazione resta valida per gli anni successivi salvo variazioni).
Per la modulistica e le modalità di presentazione vedi la sezione Modulistica IMU del Comune di Venezia.</t>
  </si>
  <si>
    <t>Calcolo IMU per un immobile categoria catastale A/3
Di seguito i passaggi essenziali per determinare l'IMU dovuta:
Rilevare la rendita catastale aggiornata al 1° gennaio dell'anno d'imposta.
Rivalutare la rendita del 5%: rendita × 1,05.
Applicare il moltiplicatore per le categorie del gruppo A: 160. Otterrai la base imponibile.
Applicare l'aliquota comunale vigente per le unità immobiliari in categoria A non altrimenti agevolate (aliquota ordinaria deliberata; in mancanza di nuove delibere si applicano le aliquote dell’anno precedente).
Adeguare per quota di possesso e mesi di possesso (mese calcolato per intero se posseduto per più della metà dei giorni).
Arrotondare all'euro secondo regole comunali (≤ €0,49 per difetto, &gt; €0,49 per eccesso). Se l’imposta annua complessiva è ≤ €12,00 non è dovuta.
Esempio numerico (schema):
Base imponibile = (Rendita × 1,05) × 160
IMU annua = Base imponibile × Aliquota × (quota possesso) × (mesi/12)
Nota: per le abitazioni in categorie A/1, A/8, A/9 esiste la detrazione di €200 rapportata al periodo; per A/3 non è prevista la detrazione “abitazione principale”. Verifica sempre l’aliquota applicabile per l’anno d’imposta notificato dal Comune prima del calcolo finale.</t>
  </si>
  <si>
    <t>Documenti e dati essenziali per calcolare l'IMU
Per determinare l'IMU dovuta su un immobile sono necessari i seguenti elementi obbligatori:
Rendita catastale aggiornata al 1° gennaio dell’anno d’imposta.
Categoria catastale (A, B, C, D, ecc.) e relativo moltiplicatore previsto dalla normativa.
Rivalutazione del 5% sulla rendita catastale (legge) e applicazione del moltiplicatore.
Esempio formula semplificata per fabbricato:
rendita × 1,05 × moltiplicatore × aliquota = IMU annua (lordo)
Aliquota comunale applicabile (delibera annuale) e eventuali detrazioni o riduzioni (es. detrazione abitazione principale, riduzione 50% per inagibilità, riduzione per comodato, riduzione per locazione a canone concordato).
Percentuale di possesso (%) e periodo di possesso (mesi/giorni) nell’anno d’imposta.
Per aree fabbricabili: valore venale al 1° gennaio; per terreni agricoli: reddito dominicale rivalutato del 25% e moltiplicatore 135.
Eventuali documenti giustificativi per agevolazioni: autocertificazioni/dichiarazioni (abitazione principale, comodato, canone concordato, inagibilità, anziani/disabili in ricovero, ecc.) o la dichiarazione IMU quando richiesta.
Controlli amministrativi e obblighi
Verificare che l'aliquota pubblicata dal Comune sia quella vigente per l'anno (in assenza di delibera si applicano le precedenti).
Presentare la dichiarazione IMU o le autocertificazioni nei termini (30 giugno dell'anno successivo quando richiesto).
Per calcolare rapidamente l’importo e conoscere le aliquote del Comune di Venezia consulta: Aliquote e scadenze o usa lo strumento di calcolo: Calcolo IMU 2025.</t>
  </si>
  <si>
    <t>Aliquota applicabile
Aliquota ordinaria per unità A/1 adibita ad abitazione principale nel Comune di Venezia: 0,64% (aliquote deliberate per il 2024–2025; per il 2026 si applicano le aliquote deliberate più recenti quando pubblicate).
Agevolazioni rilevanti per un edificio storico A/1
Riduzione della base imponibile 50%: per i fabbricati di interesse storico o artistico ai sensi dell'art. 10 del D.Lgs. 42/2004 la base imponibile è ridotta del 50%.
Detrazione per abitazione principale (se l’immobile è effettivamente l’abitazione principale del possessore): €200 rapportati al periodo dell’anno.
Le due agevolazioni (riduzione base e detrazione) sono cumulabili se ricorrono i requisiti.
Calcolo sintetico
Imposta annua = (Base imponibile dopo eventuale riduzione) × Aliquota — Detrazione
es.: se Base imponibile = V, con riduzione storicità → Base = 0,5·V; quindi Imposta = 0,5·V × 0,0064 − 200 (se applicabile e nei limiti)
Note operative
L’agevolazione per fabbricato storico e la detrazione si applicano solo se sussistono i requisiti previsti dalla normativa; eventuali autocertificazioni/dichiarazioni devono essere presentate nei termini previsti per la dichiarazione IMU.</t>
  </si>
  <si>
    <t>Ha preso solo il caso come casa principale</t>
  </si>
  <si>
    <t>Differenza principale (definizioni)
Abitazione principale: l’unità immobiliare nella quale il possessore e i componenti del nucleo familiare dimorano abitualmente e risiedono anagraficamente. Sono considerate pertinenze solo le categorie catastali C/2, C/6, C/7 (max una unità per ciascuna categoria). Alcune fattispecie sono assimilate per legge (es. casa familiare assegnata al genitore affidatario, unità cooperative assegnate, persone in servizio permanente delle Forze armate, anziani/disabili ricoverati — se il Comune lo prevede).
Seconda casa (o “altri immobili” ad uso abitativo non abitazione principale): immobili posseduti e non utilizzati come abitazione principale (es. case a disposizione, affittate a canone libero, comodati non rientranti nei requisiti, ecc.).
Altri immobili: garage non pertinenziali, negozi, uffici, terreni, aree fabbricabili, fabbricati produttivi (categoria D), ecc., con regole proprie di imposizione e valutazione.
Trattamento fiscale (sintesi)
Abitazione principale (categorie A/1, A/8, A/9): aliquota agevolata comunale e detrazione di € 200 rapportata al periodo dell’anno in cui sussiste la destinazione ad abitazione principale. Le pertinenze ammesse seguono il trattamento dell’abitazione principale (limiti sopra indicati).
Immobili dati in locazione a canone concordato: aliquota ridotta con riduzione dell’imposta al 75% (norma nazionale).
Seconda casa / altri immobili abitativi: soggetti alle aliquote ordinarie comunali (più elevate rispetto all’abitazione principale).
Immobili produttivi (cat. D): parte del gettito riservata allo Stato; aliquote e ripartizioni specifiche.
Come si calcola (formula sintetica)
Base imponibile = Rendita catastale × 1,05 × moltiplicatore catastale
IMU annua = Base imponibile × Aliquota (eventuali detrazioni/riduzioni applicate)
L’imposta è dovuta in proporzione alla quota di possesso e ai mesi di possesso (mese conteggiato intero se posseduto &gt; metà giorni).
Alcune riduzioni (es. immobili storici, inagibili/inabitabili, comodato a parenti in 1° grado) possono diminuire base o imposta; l’applicazione può richiedere autocertificazione o dichiarazione IMU.
Note operative rilevanti
Le agevolazioni comunali (aliquote e condizioni) sono deliberate annualmente dal Comune; in assenza di nuove delibere si applicano le aliquote dell’anno precedente.
Per verificare aliquote, modulistica e approfondimenti consultare la pagina IMU del Comune di Venezia: IMU - Comune di Venezia
Se desidera, posso indicare quali aliquote comunali si applicano alle diverse fattispecie per l’anno di riferimento (indichi l’anno).</t>
  </si>
  <si>
    <t>Non dice che è solitamente esente l'abitazione principale</t>
  </si>
  <si>
    <t>Sintesi applicabile al caso (casa A/2 adibita ad abitazione principale con giardino)
Abitazione principale A/2: per il Comune di Venezia l’unità immobiliare diversa dalle categorie A/1, A/8 e A/9 adibita ad abitazione principale è esente da IMU (normativa nazionale e Regolamento comunale).
Box auto (C/6) come pertinenza: se il box è destinato stabilmente a pertinenza dell’abitazione principale e rientra nel limite di una pertinenza per ciascuna categoria C/2, C/6, C/7, il box segue il trattamento dell’abitazione principale e quindi è esente.
Se il box non è pertinenza (es. uso separato, locato, o si eccede il numero massimo di pertinenze): il box è considerato altro fabbricato e soggetto a IMU secondo l’aliquota comunale applicabile agli altri fabbricati (vedere le aliquote deliberate); il codice tributo per pertinenze/abitazione principale è 3912 e per “altri fabbricati” è 3918.
Obblighi dichiarativi: per beneficiare dell’agevolazione è opportuno che il contribuente abbia presentato l’autocertificazione / dichiarazione IMU che attesti la pertinenza; se non è già stata presentata, va presentata nei termini previsti (termine della dichiarazione IMU).
Se il box viene dato in locazione: l’immobile pertinenziale perde il regime di esenzione e va assoggettato a IMU con l’aliquota per gli altri fabbricati (riduzioni/agevolazioni diverse si applicano solo in casi specifici).
Per i dettagli operativi (modulistica, codici tributo e aliquote vigenti) consultare la modulistica IMU e la pagina Aliquote del Comune di Venezia. IMU - Comune di Venezia</t>
  </si>
  <si>
    <t>Categorie catastali rilevanti ai fini IMU
Di seguito le categorie catastali secondo il vocabolario comunale, raggruppate per gruppi principali:
Gruppo A: A/1, A/2, A/3, A/4, A/5, A/6, A/7, A/8, A/9, A/10, A/11 (es. abitazioni, ville, castelli, uffici/studi privati A/10).
Gruppo B: B/1 ÷ B/8 (es. collegi, case di cura senza fine di lucro, caserme, scuole).
Gruppo C: C/1 ÷ C/7 (es. negozi, magazzini C/2, autorimesse C/6, tettoie C/7).
Gruppo D: D/1 ÷ D/10 (fabbricati per attività produttive, alberghi, teatri, istituti di credito, ecc.).
Gruppo E: E/1 ÷ E/9 (stazioni, ponti a pedaggio, costruzioni per esigenze pubbliche, edifici di culto, ecc.).
Gruppo F: F/1 ÷ F/7 (aree urbane, unità collabenti, in corso di costruzione, lastrici solari, infrastrutture, ecc.).
Note essenziali:
Per l’IMU la categoria catastale determina il moltiplicatore da applicare alla rendita catastale per calcolare la base imponibile.
Alcune categorie (es. C/2, C/6, C/7) sono considerate pertinenze dell’abitazione principale con trattamenti specifici.</t>
  </si>
  <si>
    <t>La normativa prevede che le pertinenze dell’abitazione principale siano limitate alle categorie catastali C/2, C/6 e C/7, nella misura massima di un’unità pertinenziale per ciascuna categoria.
Quindi possono beneficiare dell’agevolazione fino a 3 pertinenze (una C/2, una C/6 e una C/7).
«Per pertinenze dell'abitazione principale si intendono esclusivamente quelle classificate nelle categorie catastali C/2, C/6 e C/7, nella misura massima di un'unità pertinenziale per ciascuna delle categorie catastali indicate...» (art. 1, comma 741, Legge 160/2019).</t>
  </si>
  <si>
    <t>Sintesi delle agevolazioni per immobili destinati ad attività di volontariato
Esenzione parziale o totale: gli immobili posseduti e utilizzati esclusivamente da enti non commerciali (soggetti di cui all’art. 73, comma 1, lett. c del TUIR) per lo svolgimento con modalità non commerciali delle attività istituzionali possono essere esenti dall’IMU per il periodo in cui sussistono tali condizioni.
Requisiti sostanziali: l’ente deve svolgere attività esclusivamente non commerciali secondo i requisiti previsti (atto costitutivo/statuto, divieto di distribuzione degli utili, reinvestimento degli avanzi, ecc.) e — per specifiche attività — rispettare i requisiti aggiuntivi indicati dal decreto ministeriale n. 200/2012.
Utilizzo esclusivo e miste utilizzazioni: se l’immobile è usato anche in parte per attività commerciali, l’esenzione non si applica integralmente; si deve determinare la quota imponibile in base alla proporzione di utilizzo (superficie, soggetti serviti, giorni/periodi).
Adempimenti: gli enti non commerciali devono presentare la dichiarazione IMU ENC (modalità telematica) nei termini previsti (entro il 30 giugno dell’anno successivo a quello di inizio possesso o variazione) per beneficiare dell’esenzione e per la corretta gestione dei versamenti (versamenti in tre rate per gli ENC).
Validità temporale: l’esenzione opera per il periodo dell’anno durante il quale permangono le condizioni richieste; la perdita dei requisiti comporta l’obbligo di versare l’imposta.
Per approfondire la modulistica e la procedura di presentazione della dichiarazione IMU ENC:
Enti non commerciali (IMU) — Comune di Venezia
Modulistica IMU — Comune di Venezia</t>
  </si>
  <si>
    <t>Termine di pagamento caduto di domenica (o giorno festivo)
Se la scadenza per il versamento dell'IMU cade di domenica o in giorno festivo, il pagamento è considerato tempestivo se effettuato il primo giorno lavorativo successivo.
La stessa regola si applica se la scadenza cade di sabato: il versamento è tempestivo se eseguito il primo giorno lavorativo successivo.
L’arrotondamento e le modalità di versamento restano quelli previsti (F24 o altre modalità indicate dalla normativa).
Per dettagli operativi e istruzioni sul versamento tramite F24, consulta la pagina del Comune: Versamenti per ravvedimento operoso.</t>
  </si>
  <si>
    <t>Per calcolare l’importo devo avere alcuni dati mancanti
Per favore forniscimi i seguenti elementi (necessari e senza i quali non posso calcolare l’IMU):
Categoria catastale (es. A/2, A/1, C/6, D/1, terreno, area fabbricabile)
Rendita catastale (se fabbricato) o reddito dominicale (se terreno) oppure valore venale area fabbricabile
Quota di possesso (es. 100% o 1/2)
Periodo di possesso nell’anno (mesi o date; il mese conta per intero se &gt; metà)
Eventuali agevolazioni applicabili (abitazione principale, locazione a canone concordato, comodato a parenti 1° grado, inagibilità, immobile storico, residente estero, ecc.)
Confermi che l’anno d’imposta è 2026?
Indicami questi dati e calcolo l’IMU dovuta.
Link utile: Aliquote e scadenze</t>
  </si>
  <si>
    <t>Seconda casa (immobile non adibito ad abitazione principale)
La seconda casa è considerata immobile diverso dall’abitazione principale: su di essa si applica l’aliquota deliberata dal Comune per gli “altri fabbricati”.
In assenza di nuove delibere per il 2026, si applicano le aliquote 2025 (ai sensi del comma 767). Per il Comune di Venezia le aliquote generalmente vigenti per gli immobili diversi dall’abitazione principale sono indicate nella pagina comunale sulle aliquote; per molte fattispecie rilevanti si utilizza l’aliquota 1,10% o l’1,06% a seconda della categoria catastale e della fattispecie.
La base imponibile si determina come previsto dalla normativa nazionale: si parte dalla rendita catastale rivalutata del 5% e si applica il moltiplicatore catastale (es. 160 per le A) per ottenere il valore imponibile.
Esempio (sintetico):
Rendita x 1,05 x moltiplicatore x aliquota = IMU annua
Non spettano le detrazioni per abitazione principale (es. €200) se l’immobile è effettivamente una seconda casa.
Scadenze di versamento: in genere prima rata/acconto entro il 16 giugno e saldo entro il 16 dicembre (o unica rata entro il 16 giugno).
Codice tributo da usare su F24 per “altri fabbricati” comunali: 3918 (codice Ente Comune di Venezia L736).
Importante: aliquota applicabile e eventuali agevolazioni specifiche dipendono dalla delibera annuale; per i dettagli e le aliquote aggiornate consulta la pagina “Aliquote e scadenze”: Aliquote e scadenze.
Se desidera, posso calcolare l’IMU stimata per la sua seconda casa se mi fornisce rendita catastale, categoria catastale e quota di possesso.</t>
  </si>
  <si>
    <t>Non è possibile determinare l’IMU dovuta per una seconda casa senza le informazioni relative all’immobile e al possesso, tra cui rendita catastale, categoria catastale, percentuale e periodo di possesso e aliquota applicabile. Oppure informazioni generali sulla seocnda casa per l'IMU</t>
  </si>
  <si>
    <t>Richiesta non pertinente all’IMU
Mi dispiace, posso fornire assistenza soltanto sulle questioni relative all'IMU del Comune di Venezia (regolamento, calcolo, definizioni, aliquote e modulistica) per gli anni dal 2024 in poi.
Per informazioni sugli orari di apertura di Palazzo Ducale, consulta le risorse turistiche o il sito ufficiale dedicato ai musei di Venezia.
Per tornare all’IMU del Comune di Venezia: IMU - Comune di Venezia</t>
  </si>
  <si>
    <t>Oggetto non pertinente
Mi dispiace, posso fornire assistenza solo sulle norme, il calcolo e le definizioni relative all'IMU del Comune di Venezia (anni dal 2024 in poi). La richiesta sul meteo non rientra nelle mie competenze.
Per informazioni IMU consultare il sito ufficiale:
IMU - Comune di Venezia</t>
  </si>
  <si>
    <t>RAG-5.4</t>
  </si>
  <si>
    <t>Prompt-based-5.4</t>
  </si>
  <si>
    <t>Seconda casa
Per la seconda casa nel Comune di Venezia:
non c’è esenzione IMU;
l’aliquota IMU è 1,10% per le unità immobiliari in categoria catastale A ad uso abitativo non rientranti in altra fattispecie.
Rientrano in questa casistica, ad esempio, gli immobili:
sfitti o a disposizione;
in locazione a canone libero;
in comodato a parenti non di primo grado;
di soggetti iscritti AIRE.
Se vuoi, posso anche dirti come si calcola l’IMU sulla seconda casa oppure verificare il caso specifico del tuo immobile.</t>
  </si>
  <si>
    <t>Che cos’è l’IMU
L’IMU è l’imposta municipale propria sugli immobili.
Chi è tenuto a pagarla
In generale, la paga il possessore dell’immobile, cioè:
il proprietario;
chi ha un diritto reale di usufrutto, uso, abitazione, enfiteusi o superficie;
il genitore assegnatario della casa familiare per provvedimento del giudice;
il concessionario per le aree demaniali;
il locatario finanziario per immobili anche da costruire o in corso di costruzione, dalla data della stipula e per tutta la durata del contratto.
Se sullo stesso immobile ci sono più soggetti passivi, ciascuno paga per la propria quota di possesso.
In alcuni casi particolari, sono tenuti al versamento:
chi amministra il bene nelle multiproprietà;
l’amministratore del condominio per le parti comuni accatastate autonomamente;
il curatore o il commissario liquidatore per immobili in fallimento o liquidazione coatta amministrativa.
Se vuoi, posso anche spiegarti quando l’IMU si paga e quando non si paga.</t>
  </si>
  <si>
    <t>Principali categorie di immobili soggette all’IMU
In generale, sono soggetti a IMU gli immobili che non rientrano nelle esenzioni previste. Le principali categorie sono:
Fabbricati diversi dall’abitazione principale esente
Abitazioni principali classificate nelle categorie catastali A/1, A/8 e A/9
Aree fabbricabili
Terreni agricoli, salvo i casi di esenzione previsti
Immobili del gruppo catastale D ad uso produttivo, esclusa la categoria D/10 che è esente
Categorie catastali A/10, B, C e D non esenti, secondo le regole applicabili
Altri immobili che non rientrano in specifiche esenzioni o assimilazioni
In sintesi
Le categorie catastali più ricorrenti tra gli immobili soggetti a IMU sono:
A/1, A/8, A/9
A/10
B
C
D (tranne D/10)
Se vuoi, posso anche indicarti quali categorie sono esenti oppure come capire se un immobile specifico è soggetto a IMU.</t>
  </si>
  <si>
    <t>Per i terreni agricoli, l’aliquota IMU ordinaria è 1,06%.
Attenzione
Alcuni terreni agricoli sono esenti da IMU, in particolare quelli:
posseduti e condotti da coltivatori diretti o imprenditori agricoli professionali (IAP) iscritti alla previdenza agricola, anche se appartenenti a società agricole;
rientranti negli altri casi di esenzione previsti dalla normativa vigente.
Se vuoi, posso verificare anche se il tuo terreno agricolo rientra in un caso di esenzione.</t>
  </si>
  <si>
    <t>Scadenze IMU
Il pagamento dell’IMU si effettua, in via ordinaria, in due rate:
16 giugno: prima rata
16 dicembre: seconda rata
È comunque possibile versare l’intera imposta annuale in un’unica soluzione entro il 16 giugno.
Nota sul saldo
La seconda rata di dicembre è il saldo a conguaglio, calcolato sulla base delle aliquote risultanti dal prospetto delle aliquote pubblicato entro il 28 ottobre.</t>
  </si>
  <si>
    <t>Modalità di pagamento dell’IMU
L’IMU si paga con il modello F24 semplificato, presso:
sportelli degli agenti della riscossione
banche convenzionate
uffici postali
In alternativa, il versamento può essere effettuato anche con:
apposito bollettino postale
piattaforma di cui all’art. 5 del CAD e altre modalità previste dalla normativa
Scadenze del versamento
prima rata entro il 16 giugno
seconda rata entro il 16 dicembre
È sempre possibile pagare in un’unica soluzione entro il 16 giugno.
Nel modello F24
Vanno indicati, in sintesi:
codice ente: il codice catastale del Comune dove si trovano gli immobili
anno di riferimento
importo dovuto
eventuale segnalazione di acconto, saldo, ravvedimento o immobili variati, se ricorre il caso
Se vuole, posso anche indicarle come compilare l’F24 IMU passo per passo.</t>
  </si>
  <si>
    <t>Principali differenze tra disciplina nazionale e Comune di Venezia
La disciplina nazionale dell’IMU è quella prevista dalla L. 160/2019 e si applica in tutti i comuni, con la possibilità per i comuni di intervenire solo nei limiti consentiti dalla legge.
Per il Comune di Venezia, invece, oltre alla disciplina nazionale, valgono le aliquote comunali e alcune regole locali specifiche.
In sintesi, le differenze principali sono:
Aliquote
La disciplina nazionale stabilisce l’impianto generale dell’IMU.
Il Comune di Venezia fissa le aliquote applicabili sul proprio territorio per le diverse fattispecie.
Riduzioni ed agevolazioni locali
Venezia prevede alcune aliquote agevolate e applica le riduzioni previste nei propri documenti per fattispecie specifiche, come:
locazioni a canone concordato;
comodato a genitori o figli;
immobili di pensionati residenti all’estero;
fabbricati inagibili/inabitabili;
fabbricati di interesse storico-artistico.
Per alcune di queste fattispecie, il Comune richiama anche la disciplina nazionale di riferimento.
Detrazione per abitazione principale
Resta quella prevista dalla normativa nazionale per le categorie interessate.
Nei documenti del Comune di Venezia è indicata la detrazione di € 200,00 per l’abitazione principale soggetta a IMU.
Esenzioni
Le esenzioni di base derivano dalla normativa nazionale.
Il Comune di Venezia richiama anche alcune specifiche applicazioni locali e gli adempimenti connessi.
Versamento
La disciplina nazionale prevede le scadenze ordinarie dell’IMU.
Venezia non modifica queste scadenze, ma nei documenti comunali è richiamata la disciplina applicabile al versamento e alla gestione delle posizioni.
Aspetto procedurale locale
Venezia ha una disciplina specifica sulla rateizzazione delle imposte accertate, che non emerge come regola generale della normativa nazionale.
Punto chiave
La differenza più rilevante è questa:
la normativa nazionale definisce le regole generali dell’IMU;
il Comune di Venezia applica quelle regole nel proprio territorio e stabilisce aliquote, agevolazioni e alcune modalità operative locali.
Se vuoi, posso anche riassumerti le differenze in una tabella molto semplice.</t>
  </si>
  <si>
    <t>In caso di differenza tra norme
Per l’IMU del Comune di Venezia, si applica la seguente priorità delle fonti:
Regolamento comunale
Aliquote comunali
Regolamento nazionale
Resto dei documenti
Vocabolario
Quindi, se una disposizione comunale differisce da quella nazionale, prevale la disposizione comunale, nei limiti in cui sia valida e applicabile.
Se vuoi, posso anche aiutarti a capire come questa regola si applica a un caso IMU concreto.</t>
  </si>
  <si>
    <t>Usa le regole interne come definizione</t>
  </si>
  <si>
    <t>Abitazione principale A/1, A/8 e A/9 nel Comune di Venezia
Per l’abitazione principale classificata nelle categorie catastali A/1, A/8 e A/9 e per le relative pertinenze:
Aliquota nazionale di base: 0,50%
Aliquota applicata nel Comune di Venezia: 0,64%
Detrazione IMU: € 200
Quale valore ha portata nazionale?
Ha valore nazionale la disciplina di base prevista dalla normativa statale, cioè:
aliquota base dello 0,50%;
facoltà del Comune di aumentarla di 0,10 punti percentuali oppure ridurla fino a zero;
detrazione di € 200 per l’abitazione principale in A/1, A/8 e A/9.
Nel Comune di Venezia
Per il periodo 1/1/2025–31/12/2026, il Comune di Venezia applica per questa fattispecie:
0,64% per l’abitazione principale A/1, A/8 e A/9 e relative pertinenze.
Se vuoi, posso anche riepilogarti tutte le aliquote IMU del Comune di Venezia in un elenco ordinato.</t>
  </si>
  <si>
    <t>Sì, un immobile in categoria catastale A/2 può essere soggetto all’IMU nel Comune di Venezia.
In particolare:
se è abitazione principale del possessore, è esente IMU;
se non è abitazione principale, in generale è soggetto a IMU;
in alcuni casi specifici può applicarsi un’aliquota diversa, ad esempio:
comodato gratuito a genitori/figli con i requisiti previsti: 0,76%;
locazione a canone concordato: 0,76%;
altri casi ordinari: 1,10%.
Se vuoi, posso dirti subito quale aliquota si applica nel tuo caso specifico.</t>
  </si>
  <si>
    <t>Condizioni per l’agevolazione anziani o disabili
L’unità immobiliare può beneficiare dell’agevolazione se sono rispettate queste condizioni:
il proprietario è anziano o disabile;
la persona acquisisce la residenza in un istituto di ricovero o sanitario a seguito di ricovero permanente;
l’immobile è posseduto a titolo di proprietà, usufrutto o abitazione;
l’immobile non deve essere locato;
l’immobile deve essere stato abitazione principale dell’interessato fino al trasferimento nella struttura.
Limite importante
Se il soggetto possiede più unità immobiliari, l’agevolazione può essere applicata solo a una sola unità immobiliare.
Se vuoi, posso anche dirti come viene trattata ai fini IMU questa unità immobiliare.</t>
  </si>
  <si>
    <t>Calcolo dell’IMU per un immobile A/3
Per un immobile in categoria catastale A/3 il calcolo dipende soprattutto dall’uso dell’immobile:
se è abitazione principale del possessore, l’IMU non si paga;
se non è abitazione principale, l’IMU si calcola sulla base imponibile applicando l’aliquota prevista.
Formula base
Base imponibile = rendita catastale × 1,05 × 160
Poi:
IMU dovuta = base imponibile × aliquota × quota di possesso × mesi di possesso / 12
Aliquota da applicare nel Comune di Venezia
Per gli immobili di categoria catastale A/3:
1,10% se rientrano negli altri fabbricati;
1,06% se si tratta di immobili di categoria A/3;
0,76% solo nei casi di locazione agevolata o comodato agevolato previsti.
Importante
Se l’immobile A/3 è abitazione principale, l’IMU è esente.
Se vuoi, posso anche calcolarti l’IMU con un esempio pratico se mi indichi:
rendita catastale
quota di possesso
mesi di possesso
e se l’immobile è abitazione principale, locato oppure seconda casa.</t>
  </si>
  <si>
    <t>Inprecisione sull'aliquota</t>
  </si>
  <si>
    <t>Per determinare l’IMU dovuta per un immobile servono, in generale, questi elementi:
Dati principali dell’immobile
Tipologia dell’immobile: terreno, area fabbricabile, fabbricato, abitazione principale, pertinenza, bene merce, ecc.
Dati catastali:
sezione, foglio, particella, subalterno;
categoria catastale e classe;
indicazione T/U se necessaria.
Ubicazione dell’immobile.
Dati utili per il calcolo
Rendita catastale vigente al 1° gennaio dell’anno di imposta, se si tratta di un fabbricato iscritto in catasto.
Valore venale al 1° gennaio, se si tratta di area fabbricabile.
Eventuali dati contabili, se il fabbricato rientra nei casi in cui il valore si determina con le scritture contabili.
Periodo di possesso nell’anno.
Quota di possesso.
Eventuali riduzioni, esenzioni o agevolazioni applicabili.
Eventuale qualifica di abitazione principale e relative pertinenze.
In pratica
Per calcolare correttamente l’IMU servono almeno:
che immobile è;
quanto vale ai fini IMU;
per quanto tempo è stato posseduto;
in quale misura è posseduto;
se spettano riduzioni o esenzioni.
Se vuoi, posso anche dirti quali dati servono in base al tipo di immobile: abitazione, seconda casa, terreno o area edificabile.</t>
  </si>
  <si>
    <t>Aliquota applicabile
Per un immobile A/1 a Venezia, l’aliquota dipende dall’uso dell’immobile:
se è abitazione principale: 0,64%
se non è abitazione principale: rientra negli altri fabbricati e l’aliquota è 1,1%
Agevolazioni applicabili
Se l’edificio è storico o artistico, si applica sempre la riduzione del 50% della base imponibile IMU.
In più:
se l’immobile è anche abitazione principale A/1, si applica anche la detrazione di 200 euro;
se è un immobile storico ma non abitazione principale, resta applicabile solo la riduzione del 50% della base imponibile;
non risultano altre agevolazioni specifiche solo perché l’immobile è in categoria A/1.
Se vuoi, posso anche aiutarti a capire come si calcola l’IMU in questo caso.</t>
  </si>
  <si>
    <t>Differenza ai fini IMU
Abitazione principale: è l’immobile in cui il possessore e il suo nucleo familiare risiedono anagraficamente e dimorano abitualmente.
In generale non paga l’IMU.
Fa eccezione solo se è classificata in A/1, A/8 o A/9: in quel caso l’IMU è dovuta, con detrazione di 200 euro.
Seconda casa: non è una categoria giuridica autonoma, ma è il modo comune per indicare un immobile diverso dall’abitazione principale.
Paga l’IMU secondo l’aliquota applicabile alla specifica fattispecie.
Altri immobili: sono gli immobili che non sono abitazione principale e non rientrano in eventuali casi particolari previsti dalla disciplina IMU.
In linea generale sono soggetti a IMU.
In sintesi
Abitazione principale = di regola esente
Seconda casa = soggetta a IMU
Altri immobili = soggetti a IMU
Se vuoi, posso anche indicarti quali aliquote si applicano a ciascun caso nel Comune di Venezia.</t>
  </si>
  <si>
    <t>dovrebbe specificare che conta come pertinenza solo se è destinato a servizio</t>
  </si>
  <si>
    <t>Regole IMU applicabili
Nel suo caso, la casa principale in categoria A/2 e il box auto seguono questa regola:
l’abitazione principale in A/2 è esente da IMU;
anche la pertinenza dell’abitazione principale è esente da IMU;
il box auto può essere considerato pertinenza solo se è classificato in categoria catastale C/6;
per le pertinenze dell’abitazione principale è ammessa al massimo 1 unità per ciascuna categoria catastale.
In pratica
Se il box auto è un C/6 e viene mantenuto come pertinenza della casa principale, non si paga IMU nemmeno sul box.
Attenzione
L’esenzione vale per l’abitazione principale solo se non è classificata nelle categorie A/1, A/8 o A/9.
Nel suo caso, essendo A/2, l’esenzione si applica.
Se vuole, posso anche aiutarla a capire come viene trattato un secondo box auto oppure come verificare se il box può essere riconosciuto come pertinenza.</t>
  </si>
  <si>
    <t>Categorie catastali rilevanti ai fini IMU
Ai fini dell’IMU, le categorie catastali più rilevanti sono queste:
A/1, A/8 e A/9: abitazione principale di lusso, per la quale l’IMU resta dovuta;
C/2, C/6 e C/7: pertinenze dell’abitazione principale, al massimo una per ciascuna categoria;
A/10, C/1, C/3, C/4, C/5, B e D: categorie rilevanti per il calcolo della base imponibile;
da E/1 a E/9: fabbricati esenti da IMU.
Per il Comune di Venezia, nelle fattispecie agevolate specifiche risultano inoltre rilevanti le categorie:
A/2
A/3
A/4
A/5
A/7
Se vuoi, posso anche dirti quali categorie sono esenti, quali pagano l’IMU e quali sono le pertinenze ammesse.</t>
  </si>
  <si>
    <t>Numero di pertinenze agevolabili
Le pertinenze che possono beneficiare del trattamento previsto per l’abitazione principale sono al massimo 3, una per ciascuna delle seguenti categorie catastali:
1 C/2
1 C/6
1 C/7
Quindi, per ogni categoria è ammessa una sola unità pertinenziale.</t>
  </si>
  <si>
    <t>Esenzione per uso esclusivo in attività di volontariato
Se l’immobile è posseduto e utilizzato da un soggetto rientrante nella lettera i) dell’art. 7, comma 1, del D.Lgs. 504/1992 e viene destinato esclusivamente a svolgere attività con modalità non commerciali, è prevista la esenzione totale IMU.
In pratica
L’esenzione si applica quando:
l’immobile è utilizzato solo per attività di volontariato;
tali attività sono svolte senza carattere commerciale;
non si svolgono nell’immobile altre attività diverse o commerciali.
Attenzione
Se l’immobile è usato anche solo in parte per attività commerciali, l’esenzione non è totale: può esserci solo una esenzione parziale sulla parte non commerciale.
La disciplina richiamata è quella dell’art. 91-bis del D.L. 1/2012 e del regolamento MEF n. 200/2012.
Se vuoi, posso anche dirti come si verifica concretamente se l’ente rientra nella lettera i) o come compilare la dichiarazione IMU per questa fattispecie.</t>
  </si>
  <si>
    <t>Se la scadenza del pagamento dell’IMU cade di domenica, il versamento è considerato tempestivo se effettuato il primo giorno lavorativo successivo.
Quindi, in pratica, si paga il lunedì successivo; se anche il lunedì fosse festivo, allora si paga nel primo giorno lavorativo utile.</t>
  </si>
  <si>
    <t>Per calcolare l’IMU mi servono questi dati dell’immobile:
Comune e ubicazione
Tipologia: abitazione principale, seconda casa, pertinenza, area fabbricabile, terreno, ecc.
Dati catastali: foglio, particella, subalterno, categoria e classe
Rendita catastale oppure valore dell’area, se si tratta di area fabbricabile
Quota di possesso e periodo di possesso nell’anno
Eventuali condizioni particolari: esenzione, riduzione, abitazione principale A/1, A/8 o A/9, locazione, ecc.
Se vuoi, puoi scrivermi questi dati in un solo messaggio e ti calcolo subito l’IMU.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</si>
</sst>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8"/>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center" vertical="center" wrapText="1"/>
    </xf>
    <xf numFmtId="0" fontId="0" fillId="0" borderId="0" xfId="0" applyFont="1" applyAlignment="1">
      <alignment wrapText="1"/>
    </xf>
  </cellXfs>
  <cellStyles count="1">
    <cellStyle name="Normal" xfId="0" builtinId="0"/>
  </cellStyles>
  <dxfs count="12">
    <dxf>
      <fill>
        <patternFill>
          <bgColor rgb="FFFF0000"/>
        </patternFill>
      </fill>
    </dxf>
    <dxf>
      <fill>
        <patternFill>
          <bgColor rgb="FF00B0F0"/>
        </patternFill>
      </fill>
    </dxf>
    <dxf>
      <fill>
        <patternFill>
          <bgColor rgb="FF00B050"/>
        </patternFill>
      </fill>
    </dxf>
    <dxf>
      <fill>
        <patternFill>
          <bgColor rgb="FF00B05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00B050"/>
        </patternFill>
      </fill>
    </dxf>
    <dxf>
      <fill>
        <patternFill>
          <bgColor rgb="FF00B050"/>
        </patternFill>
      </fill>
    </dxf>
    <dxf>
      <fill>
        <patternFill>
          <bgColor rgb="FF00B0F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A5F9-B7A6-40F0-BBBD-F2D32B1AA3B2}">
  <dimension ref="A1:Q24"/>
  <sheetViews>
    <sheetView zoomScale="73" workbookViewId="0">
      <pane ySplit="1" topLeftCell="A14" activePane="bottomLeft" state="frozen"/>
      <selection pane="bottomLeft" activeCell="J7" sqref="J7"/>
    </sheetView>
  </sheetViews>
  <sheetFormatPr defaultRowHeight="14.4" x14ac:dyDescent="0.3"/>
  <cols>
    <col min="1" max="1" width="8.88671875" style="1"/>
    <col min="2" max="2" width="32.6640625" style="1" customWidth="1"/>
    <col min="3" max="3" width="25.44140625" style="1" customWidth="1"/>
    <col min="4" max="4" width="23.5546875" style="1" customWidth="1"/>
    <col min="5" max="5" width="10.33203125" style="1" customWidth="1"/>
    <col min="6" max="6" width="16.88671875" style="1" customWidth="1"/>
    <col min="7" max="7" width="24.33203125" style="1" customWidth="1"/>
    <col min="8" max="8" width="20.5546875" style="1" customWidth="1"/>
    <col min="9" max="9" width="25.88671875" style="1" customWidth="1"/>
    <col min="10" max="10" width="18.44140625" style="1" customWidth="1"/>
    <col min="11" max="11" width="16.109375" style="1" customWidth="1"/>
    <col min="12" max="16384" width="8.88671875" style="1"/>
  </cols>
  <sheetData>
    <row r="1" spans="1:17" s="6" customFormat="1" ht="62.4" x14ac:dyDescent="0.3">
      <c r="A1" s="6" t="s">
        <v>0</v>
      </c>
      <c r="B1" s="6" t="s">
        <v>1</v>
      </c>
      <c r="C1" s="6" t="s">
        <v>2</v>
      </c>
      <c r="D1" s="6" t="s">
        <v>3</v>
      </c>
      <c r="E1" s="6" t="s">
        <v>4</v>
      </c>
      <c r="F1" s="6" t="s">
        <v>5</v>
      </c>
      <c r="G1" s="6" t="s">
        <v>6</v>
      </c>
      <c r="H1" s="6" t="s">
        <v>7</v>
      </c>
      <c r="I1" s="6" t="s">
        <v>8</v>
      </c>
      <c r="J1" s="6" t="s">
        <v>97</v>
      </c>
      <c r="K1" s="6" t="s">
        <v>98</v>
      </c>
    </row>
    <row r="2" spans="1:17" ht="409.6" x14ac:dyDescent="0.3">
      <c r="A2" s="1">
        <v>1</v>
      </c>
      <c r="B2" s="1" t="s">
        <v>24</v>
      </c>
      <c r="C2" s="1" t="s">
        <v>47</v>
      </c>
      <c r="D2" s="1" t="s">
        <v>67</v>
      </c>
      <c r="E2" s="1">
        <v>28.413</v>
      </c>
      <c r="F2" s="1" t="s">
        <v>23</v>
      </c>
      <c r="G2" s="1" t="s">
        <v>123</v>
      </c>
      <c r="H2" s="1">
        <v>11.708</v>
      </c>
      <c r="I2" s="1" t="s">
        <v>23</v>
      </c>
    </row>
    <row r="3" spans="1:17" ht="409.6" x14ac:dyDescent="0.3">
      <c r="A3" s="1">
        <v>2</v>
      </c>
      <c r="B3" s="1" t="s">
        <v>25</v>
      </c>
      <c r="C3" s="1" t="s">
        <v>48</v>
      </c>
      <c r="D3" s="1" t="s">
        <v>68</v>
      </c>
      <c r="E3" s="1">
        <v>35.26</v>
      </c>
      <c r="F3" s="1" t="s">
        <v>22</v>
      </c>
      <c r="G3" s="1" t="s">
        <v>124</v>
      </c>
      <c r="H3" s="1">
        <v>8.5380000000000003</v>
      </c>
      <c r="I3" s="1" t="s">
        <v>23</v>
      </c>
      <c r="J3" s="1" t="s">
        <v>69</v>
      </c>
      <c r="Q3" s="1" t="s">
        <v>23</v>
      </c>
    </row>
    <row r="4" spans="1:17" ht="374.4" x14ac:dyDescent="0.3">
      <c r="A4" s="1">
        <v>3</v>
      </c>
      <c r="B4" s="1" t="s">
        <v>28</v>
      </c>
      <c r="C4" s="1" t="s">
        <v>49</v>
      </c>
      <c r="D4" s="1" t="s">
        <v>70</v>
      </c>
      <c r="E4" s="1">
        <v>26.951000000000001</v>
      </c>
      <c r="F4" s="1" t="s">
        <v>23</v>
      </c>
      <c r="G4" s="1" t="s">
        <v>125</v>
      </c>
      <c r="H4" s="1">
        <v>9.343</v>
      </c>
      <c r="I4" s="1" t="s">
        <v>23</v>
      </c>
      <c r="Q4" s="1" t="s">
        <v>21</v>
      </c>
    </row>
    <row r="5" spans="1:17" ht="409.6" x14ac:dyDescent="0.3">
      <c r="A5" s="1">
        <v>4</v>
      </c>
      <c r="B5" s="1" t="s">
        <v>26</v>
      </c>
      <c r="C5" s="1" t="s">
        <v>50</v>
      </c>
      <c r="D5" s="1" t="s">
        <v>71</v>
      </c>
      <c r="E5" s="1">
        <v>22.454999999999998</v>
      </c>
      <c r="F5" s="1" t="s">
        <v>21</v>
      </c>
      <c r="G5" s="1" t="s">
        <v>126</v>
      </c>
      <c r="H5" s="1">
        <v>9.8729999999999993</v>
      </c>
      <c r="I5" s="1" t="s">
        <v>23</v>
      </c>
      <c r="J5" s="1" t="s">
        <v>72</v>
      </c>
      <c r="Q5" s="1" t="s">
        <v>22</v>
      </c>
    </row>
    <row r="6" spans="1:17" ht="409.6" x14ac:dyDescent="0.3">
      <c r="A6" s="1">
        <v>5</v>
      </c>
      <c r="B6" s="1" t="s">
        <v>27</v>
      </c>
      <c r="C6" s="1" t="s">
        <v>51</v>
      </c>
      <c r="D6" s="1" t="s">
        <v>73</v>
      </c>
      <c r="E6" s="1">
        <v>44.155999999999999</v>
      </c>
      <c r="F6" s="1" t="s">
        <v>23</v>
      </c>
      <c r="G6" s="1" t="s">
        <v>127</v>
      </c>
      <c r="H6" s="1">
        <v>13.092000000000001</v>
      </c>
      <c r="I6" s="1" t="s">
        <v>23</v>
      </c>
    </row>
    <row r="7" spans="1:17" ht="409.6" x14ac:dyDescent="0.3">
      <c r="A7" s="1">
        <v>6</v>
      </c>
      <c r="B7" s="1" t="s">
        <v>29</v>
      </c>
      <c r="C7" s="1" t="s">
        <v>52</v>
      </c>
      <c r="D7" s="1" t="s">
        <v>80</v>
      </c>
      <c r="E7" s="1">
        <v>57.168999999999997</v>
      </c>
      <c r="F7" s="1" t="s">
        <v>21</v>
      </c>
      <c r="G7" s="1" t="s">
        <v>128</v>
      </c>
      <c r="H7" s="1">
        <v>15.592000000000001</v>
      </c>
      <c r="I7" s="1" t="s">
        <v>21</v>
      </c>
      <c r="J7" s="1" t="s">
        <v>74</v>
      </c>
      <c r="K7" s="1" t="s">
        <v>129</v>
      </c>
    </row>
    <row r="8" spans="1:17" ht="409.6" x14ac:dyDescent="0.3">
      <c r="A8" s="1">
        <v>7</v>
      </c>
      <c r="B8" s="1" t="s">
        <v>30</v>
      </c>
      <c r="C8" s="1" t="s">
        <v>53</v>
      </c>
      <c r="D8" s="1" t="s">
        <v>75</v>
      </c>
      <c r="E8" s="1">
        <v>31.332999999999998</v>
      </c>
      <c r="F8" s="1" t="s">
        <v>21</v>
      </c>
      <c r="G8" s="1" t="s">
        <v>130</v>
      </c>
      <c r="H8" s="1">
        <v>12.085000000000001</v>
      </c>
      <c r="I8" s="1" t="s">
        <v>23</v>
      </c>
      <c r="J8" s="1" t="s">
        <v>76</v>
      </c>
    </row>
    <row r="9" spans="1:17" ht="409.6" x14ac:dyDescent="0.3">
      <c r="A9" s="1">
        <v>8</v>
      </c>
      <c r="B9" s="1" t="s">
        <v>31</v>
      </c>
      <c r="C9" s="1" t="s">
        <v>54</v>
      </c>
      <c r="D9" s="1" t="s">
        <v>79</v>
      </c>
      <c r="E9" s="1">
        <v>27.870999999999999</v>
      </c>
      <c r="F9" s="1" t="s">
        <v>23</v>
      </c>
      <c r="G9" s="1" t="s">
        <v>131</v>
      </c>
      <c r="H9" s="1">
        <v>13.176</v>
      </c>
      <c r="I9" s="1" t="s">
        <v>23</v>
      </c>
    </row>
    <row r="10" spans="1:17" ht="409.6" x14ac:dyDescent="0.3">
      <c r="A10" s="1">
        <v>9</v>
      </c>
      <c r="B10" s="1" t="s">
        <v>32</v>
      </c>
      <c r="C10" s="1" t="s">
        <v>55</v>
      </c>
      <c r="D10" s="1" t="s">
        <v>78</v>
      </c>
      <c r="E10" s="1">
        <v>35.625</v>
      </c>
      <c r="F10" s="1" t="s">
        <v>23</v>
      </c>
      <c r="G10" s="1" t="s">
        <v>132</v>
      </c>
      <c r="H10" s="1">
        <v>14.164</v>
      </c>
      <c r="I10" s="1" t="s">
        <v>21</v>
      </c>
      <c r="K10" s="1" t="s">
        <v>133</v>
      </c>
    </row>
    <row r="11" spans="1:17" ht="409.6" x14ac:dyDescent="0.3">
      <c r="A11" s="1">
        <v>10</v>
      </c>
      <c r="B11" s="1" t="s">
        <v>33</v>
      </c>
      <c r="C11" s="1" t="s">
        <v>56</v>
      </c>
      <c r="D11" s="1" t="s">
        <v>77</v>
      </c>
      <c r="E11" s="1">
        <v>27.709</v>
      </c>
      <c r="F11" s="1" t="s">
        <v>23</v>
      </c>
      <c r="G11" s="1" t="s">
        <v>134</v>
      </c>
      <c r="H11" s="1">
        <v>8.6489999999999991</v>
      </c>
      <c r="I11" s="1" t="s">
        <v>23</v>
      </c>
    </row>
    <row r="12" spans="1:17" ht="409.6" x14ac:dyDescent="0.3">
      <c r="A12" s="1">
        <v>11</v>
      </c>
      <c r="B12" s="1" t="s">
        <v>34</v>
      </c>
      <c r="C12" s="1" t="s">
        <v>57</v>
      </c>
      <c r="D12" s="1" t="s">
        <v>81</v>
      </c>
      <c r="E12" s="1">
        <v>37.716000000000001</v>
      </c>
      <c r="F12" s="1" t="s">
        <v>21</v>
      </c>
      <c r="G12" s="1" t="s">
        <v>135</v>
      </c>
      <c r="H12" s="1">
        <v>12.776999999999999</v>
      </c>
      <c r="I12" s="1" t="s">
        <v>23</v>
      </c>
      <c r="J12" s="1" t="s">
        <v>82</v>
      </c>
    </row>
    <row r="13" spans="1:17" ht="409.6" x14ac:dyDescent="0.3">
      <c r="A13" s="1">
        <v>12</v>
      </c>
      <c r="B13" s="1" t="s">
        <v>35</v>
      </c>
      <c r="C13" s="1" t="s">
        <v>58</v>
      </c>
      <c r="D13" s="1" t="s">
        <v>83</v>
      </c>
      <c r="E13" s="1">
        <v>113.04900000000001</v>
      </c>
      <c r="F13" s="1" t="s">
        <v>23</v>
      </c>
      <c r="G13" s="1" t="s">
        <v>136</v>
      </c>
      <c r="H13" s="1">
        <v>16.619</v>
      </c>
      <c r="I13" s="1" t="s">
        <v>23</v>
      </c>
    </row>
    <row r="14" spans="1:17" ht="409.6" x14ac:dyDescent="0.3">
      <c r="A14" s="1">
        <v>13</v>
      </c>
      <c r="B14" s="7" t="s">
        <v>37</v>
      </c>
      <c r="C14" s="1" t="s">
        <v>111</v>
      </c>
      <c r="D14" s="1" t="s">
        <v>84</v>
      </c>
      <c r="E14" s="1">
        <v>34.722000000000001</v>
      </c>
      <c r="F14" s="1" t="s">
        <v>23</v>
      </c>
      <c r="G14" s="1" t="s">
        <v>137</v>
      </c>
      <c r="H14" s="1">
        <v>14.52</v>
      </c>
      <c r="I14" s="1" t="s">
        <v>22</v>
      </c>
      <c r="K14" s="1" t="s">
        <v>138</v>
      </c>
    </row>
    <row r="15" spans="1:17" ht="409.6" x14ac:dyDescent="0.3">
      <c r="A15" s="1">
        <v>14</v>
      </c>
      <c r="B15" s="7" t="s">
        <v>36</v>
      </c>
      <c r="C15" s="1" t="s">
        <v>59</v>
      </c>
      <c r="D15" s="1" t="s">
        <v>85</v>
      </c>
      <c r="E15" s="1">
        <v>42.555</v>
      </c>
      <c r="F15" s="1" t="s">
        <v>23</v>
      </c>
      <c r="G15" s="1" t="s">
        <v>139</v>
      </c>
      <c r="H15" s="1">
        <v>15.292</v>
      </c>
      <c r="I15" s="1" t="s">
        <v>21</v>
      </c>
      <c r="K15" s="1" t="s">
        <v>140</v>
      </c>
    </row>
    <row r="16" spans="1:17" ht="409.6" x14ac:dyDescent="0.3">
      <c r="A16" s="1">
        <v>15</v>
      </c>
      <c r="B16" s="7" t="s">
        <v>38</v>
      </c>
      <c r="C16" s="1" t="s">
        <v>60</v>
      </c>
      <c r="D16" s="1" t="s">
        <v>86</v>
      </c>
      <c r="E16" s="1">
        <v>43.637999999999998</v>
      </c>
      <c r="F16" s="1" t="s">
        <v>23</v>
      </c>
      <c r="G16" s="1" t="s">
        <v>141</v>
      </c>
      <c r="H16" s="7">
        <v>21.327000000000002</v>
      </c>
      <c r="I16" s="1" t="s">
        <v>23</v>
      </c>
    </row>
    <row r="17" spans="1:10" s="7" customFormat="1" ht="409.6" x14ac:dyDescent="0.3">
      <c r="A17" s="7">
        <v>16</v>
      </c>
      <c r="B17" s="7" t="s">
        <v>39</v>
      </c>
      <c r="C17" s="7" t="s">
        <v>61</v>
      </c>
      <c r="D17" s="7" t="s">
        <v>87</v>
      </c>
      <c r="E17" s="7">
        <v>46.332000000000001</v>
      </c>
      <c r="F17" s="7" t="s">
        <v>21</v>
      </c>
      <c r="G17" s="7" t="s">
        <v>142</v>
      </c>
      <c r="H17" s="1">
        <v>8.31</v>
      </c>
      <c r="I17" s="1" t="s">
        <v>23</v>
      </c>
      <c r="J17" s="7" t="s">
        <v>88</v>
      </c>
    </row>
    <row r="18" spans="1:10" ht="331.2" x14ac:dyDescent="0.3">
      <c r="A18" s="1">
        <v>17</v>
      </c>
      <c r="B18" s="7" t="s">
        <v>40</v>
      </c>
      <c r="C18" s="7" t="s">
        <v>62</v>
      </c>
      <c r="D18" s="7" t="s">
        <v>89</v>
      </c>
      <c r="E18" s="1">
        <v>15.433</v>
      </c>
      <c r="F18" s="1" t="s">
        <v>23</v>
      </c>
      <c r="G18" s="1" t="s">
        <v>143</v>
      </c>
      <c r="H18" s="1">
        <v>5.6429999999999998</v>
      </c>
      <c r="I18" s="1" t="s">
        <v>23</v>
      </c>
    </row>
    <row r="19" spans="1:10" ht="409.6" x14ac:dyDescent="0.3">
      <c r="A19" s="1">
        <v>18</v>
      </c>
      <c r="B19" s="7" t="s">
        <v>42</v>
      </c>
      <c r="C19" s="7" t="s">
        <v>91</v>
      </c>
      <c r="D19" s="7" t="s">
        <v>90</v>
      </c>
      <c r="E19" s="1">
        <v>34.610999999999997</v>
      </c>
      <c r="F19" s="1" t="s">
        <v>23</v>
      </c>
      <c r="G19" s="1" t="s">
        <v>144</v>
      </c>
      <c r="H19" s="1">
        <v>13.85</v>
      </c>
      <c r="I19" s="1" t="s">
        <v>23</v>
      </c>
    </row>
    <row r="20" spans="1:10" ht="409.6" x14ac:dyDescent="0.3">
      <c r="A20" s="1">
        <v>19</v>
      </c>
      <c r="B20" s="7" t="s">
        <v>41</v>
      </c>
      <c r="C20" s="7" t="s">
        <v>63</v>
      </c>
      <c r="D20" s="7" t="s">
        <v>92</v>
      </c>
      <c r="E20" s="1">
        <v>14.021000000000001</v>
      </c>
      <c r="F20" s="1" t="s">
        <v>23</v>
      </c>
      <c r="G20" s="1" t="s">
        <v>145</v>
      </c>
      <c r="H20" s="1">
        <v>6.306</v>
      </c>
      <c r="I20" s="1" t="s">
        <v>23</v>
      </c>
    </row>
    <row r="21" spans="1:10" ht="409.6" x14ac:dyDescent="0.3">
      <c r="A21" s="1">
        <v>20</v>
      </c>
      <c r="B21" s="7" t="s">
        <v>43</v>
      </c>
      <c r="C21" s="7" t="s">
        <v>64</v>
      </c>
      <c r="D21" s="7" t="s">
        <v>93</v>
      </c>
      <c r="E21" s="1">
        <v>32.511000000000003</v>
      </c>
      <c r="F21" s="1" t="s">
        <v>23</v>
      </c>
      <c r="G21" s="1" t="s">
        <v>146</v>
      </c>
      <c r="H21" s="1">
        <v>7.109</v>
      </c>
      <c r="I21" s="1" t="s">
        <v>23</v>
      </c>
    </row>
    <row r="22" spans="1:10" ht="409.6" x14ac:dyDescent="0.3">
      <c r="A22" s="1">
        <v>21</v>
      </c>
      <c r="B22" s="7" t="s">
        <v>44</v>
      </c>
      <c r="C22" s="7" t="s">
        <v>148</v>
      </c>
      <c r="D22" s="7" t="s">
        <v>94</v>
      </c>
      <c r="E22" s="1">
        <v>25.491</v>
      </c>
      <c r="F22" s="1" t="s">
        <v>21</v>
      </c>
      <c r="G22" s="1" t="s">
        <v>147</v>
      </c>
      <c r="H22" s="1">
        <v>12.894</v>
      </c>
      <c r="I22" s="1" t="s">
        <v>21</v>
      </c>
    </row>
    <row r="23" spans="1:10" ht="288" x14ac:dyDescent="0.3">
      <c r="A23" s="1">
        <v>22</v>
      </c>
      <c r="B23" s="7" t="s">
        <v>45</v>
      </c>
      <c r="C23" s="7" t="s">
        <v>66</v>
      </c>
      <c r="D23" s="7" t="s">
        <v>95</v>
      </c>
      <c r="E23" s="1">
        <v>3.585</v>
      </c>
      <c r="F23" s="1" t="s">
        <v>23</v>
      </c>
      <c r="G23" s="1" t="s">
        <v>149</v>
      </c>
      <c r="H23" s="1">
        <v>4.5940000000000003</v>
      </c>
      <c r="I23" s="1" t="s">
        <v>23</v>
      </c>
    </row>
    <row r="24" spans="1:10" ht="187.2" x14ac:dyDescent="0.3">
      <c r="A24" s="1">
        <v>23</v>
      </c>
      <c r="B24" s="1" t="s">
        <v>46</v>
      </c>
      <c r="C24" s="1" t="s">
        <v>66</v>
      </c>
      <c r="D24" s="1" t="s">
        <v>95</v>
      </c>
      <c r="E24" s="1">
        <v>3.6589999999999998</v>
      </c>
      <c r="F24" s="1" t="s">
        <v>23</v>
      </c>
      <c r="G24" s="1" t="s">
        <v>150</v>
      </c>
      <c r="H24" s="1">
        <v>3.9729999999999999</v>
      </c>
      <c r="I24" s="1" t="s">
        <v>23</v>
      </c>
    </row>
  </sheetData>
  <conditionalFormatting sqref="F1:F1048576">
    <cfRule type="cellIs" dxfId="11" priority="4" operator="equal">
      <formula>"Incorrect"</formula>
    </cfRule>
    <cfRule type="cellIs" dxfId="10" priority="5" operator="equal">
      <formula>"Partially correct"</formula>
    </cfRule>
    <cfRule type="cellIs" dxfId="9" priority="6" operator="equal">
      <formula>"Correct"</formula>
    </cfRule>
  </conditionalFormatting>
  <conditionalFormatting sqref="I1:I1048576">
    <cfRule type="cellIs" dxfId="8" priority="1" operator="equal">
      <formula>"Correct"</formula>
    </cfRule>
    <cfRule type="cellIs" dxfId="7" priority="2" operator="equal">
      <formula>"Partially correct"</formula>
    </cfRule>
    <cfRule type="cellIs" dxfId="6" priority="3" operator="equal">
      <formula>"Incorrect"</formula>
    </cfRule>
  </conditionalFormatting>
  <dataValidations count="1">
    <dataValidation type="list" allowBlank="1" showInputMessage="1" showErrorMessage="1" sqref="F1:F1048576 I2:I1048576" xr:uid="{67182581-025E-4092-BC3E-3AEAE6402F26}">
      <formula1>$Q$2:$Q$5</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7974B-528D-4324-9AD2-65EE36C1DAB2}">
  <dimension ref="A1:Q24"/>
  <sheetViews>
    <sheetView zoomScale="73" workbookViewId="0">
      <pane ySplit="1" topLeftCell="A22" activePane="bottomLeft" state="frozen"/>
      <selection pane="bottomLeft" activeCell="K23" sqref="K23"/>
    </sheetView>
  </sheetViews>
  <sheetFormatPr defaultRowHeight="14.4" x14ac:dyDescent="0.3"/>
  <cols>
    <col min="1" max="1" width="8.88671875" style="1"/>
    <col min="2" max="2" width="32.6640625" style="1" customWidth="1"/>
    <col min="3" max="3" width="25.44140625" style="1" customWidth="1"/>
    <col min="4" max="4" width="23.5546875" style="1" customWidth="1"/>
    <col min="5" max="5" width="10.33203125" style="1" customWidth="1"/>
    <col min="6" max="6" width="16.88671875" style="1" customWidth="1"/>
    <col min="7" max="7" width="24.33203125" style="1" customWidth="1"/>
    <col min="8" max="8" width="20.5546875" style="1" customWidth="1"/>
    <col min="9" max="9" width="25.88671875" style="1" customWidth="1"/>
    <col min="10" max="10" width="18.44140625" style="1" customWidth="1"/>
    <col min="11" max="11" width="16.109375" style="1" customWidth="1"/>
    <col min="12" max="16384" width="8.88671875" style="1"/>
  </cols>
  <sheetData>
    <row r="1" spans="1:17" s="6" customFormat="1" ht="62.4" x14ac:dyDescent="0.3">
      <c r="A1" s="6" t="s">
        <v>0</v>
      </c>
      <c r="B1" s="6" t="s">
        <v>1</v>
      </c>
      <c r="C1" s="6" t="s">
        <v>2</v>
      </c>
      <c r="D1" s="6" t="s">
        <v>3</v>
      </c>
      <c r="E1" s="6" t="s">
        <v>4</v>
      </c>
      <c r="F1" s="6" t="s">
        <v>5</v>
      </c>
      <c r="G1" s="6" t="s">
        <v>6</v>
      </c>
      <c r="H1" s="6" t="s">
        <v>7</v>
      </c>
      <c r="I1" s="6" t="s">
        <v>8</v>
      </c>
      <c r="J1" s="6" t="s">
        <v>97</v>
      </c>
      <c r="K1" s="6" t="s">
        <v>98</v>
      </c>
    </row>
    <row r="2" spans="1:17" ht="409.6" x14ac:dyDescent="0.3">
      <c r="A2" s="1">
        <v>1</v>
      </c>
      <c r="B2" s="1" t="s">
        <v>24</v>
      </c>
      <c r="C2" s="1" t="s">
        <v>47</v>
      </c>
      <c r="D2" s="1" t="s">
        <v>154</v>
      </c>
      <c r="E2" s="1">
        <v>10.288</v>
      </c>
      <c r="F2" s="1" t="s">
        <v>23</v>
      </c>
      <c r="G2" s="1" t="s">
        <v>96</v>
      </c>
      <c r="H2" s="1">
        <v>3.1320000000000001</v>
      </c>
      <c r="I2" s="1" t="s">
        <v>23</v>
      </c>
    </row>
    <row r="3" spans="1:17" ht="409.6" x14ac:dyDescent="0.3">
      <c r="A3" s="1">
        <v>2</v>
      </c>
      <c r="B3" s="1" t="s">
        <v>25</v>
      </c>
      <c r="C3" s="1" t="s">
        <v>48</v>
      </c>
      <c r="D3" s="1" t="s">
        <v>155</v>
      </c>
      <c r="E3" s="1">
        <v>8.6129999999999995</v>
      </c>
      <c r="F3" s="1" t="s">
        <v>23</v>
      </c>
      <c r="G3" s="1" t="s">
        <v>99</v>
      </c>
      <c r="H3" s="1">
        <v>2.83</v>
      </c>
      <c r="I3" s="1" t="s">
        <v>23</v>
      </c>
      <c r="Q3" s="1" t="s">
        <v>23</v>
      </c>
    </row>
    <row r="4" spans="1:17" ht="331.2" x14ac:dyDescent="0.3">
      <c r="A4" s="1">
        <v>3</v>
      </c>
      <c r="B4" s="1" t="s">
        <v>28</v>
      </c>
      <c r="C4" s="1" t="s">
        <v>49</v>
      </c>
      <c r="D4" s="1" t="s">
        <v>156</v>
      </c>
      <c r="E4" s="1">
        <v>5.5789999999999997</v>
      </c>
      <c r="F4" s="1" t="s">
        <v>23</v>
      </c>
      <c r="G4" s="1" t="s">
        <v>100</v>
      </c>
      <c r="H4" s="1">
        <v>5.0490000000000004</v>
      </c>
      <c r="I4" s="1" t="s">
        <v>23</v>
      </c>
      <c r="Q4" s="1" t="s">
        <v>21</v>
      </c>
    </row>
    <row r="5" spans="1:17" ht="288" x14ac:dyDescent="0.3">
      <c r="A5" s="1">
        <v>4</v>
      </c>
      <c r="B5" s="1" t="s">
        <v>26</v>
      </c>
      <c r="C5" s="1" t="s">
        <v>50</v>
      </c>
      <c r="D5" s="1" t="s">
        <v>157</v>
      </c>
      <c r="E5" s="1">
        <v>6.7619999999999996</v>
      </c>
      <c r="F5" s="1" t="s">
        <v>23</v>
      </c>
      <c r="G5" s="1" t="s">
        <v>101</v>
      </c>
      <c r="H5" s="1">
        <v>2.3620000000000001</v>
      </c>
      <c r="I5" s="1" t="s">
        <v>23</v>
      </c>
      <c r="Q5" s="1" t="s">
        <v>22</v>
      </c>
    </row>
    <row r="6" spans="1:17" ht="409.6" x14ac:dyDescent="0.3">
      <c r="A6" s="1">
        <v>5</v>
      </c>
      <c r="B6" s="1" t="s">
        <v>27</v>
      </c>
      <c r="C6" s="1" t="s">
        <v>51</v>
      </c>
      <c r="D6" s="1" t="s">
        <v>158</v>
      </c>
      <c r="E6" s="1">
        <v>7.9530000000000003</v>
      </c>
      <c r="F6" s="1" t="s">
        <v>23</v>
      </c>
      <c r="G6" s="1" t="s">
        <v>102</v>
      </c>
      <c r="H6" s="1">
        <v>3.33</v>
      </c>
      <c r="I6" s="1" t="s">
        <v>23</v>
      </c>
    </row>
    <row r="7" spans="1:17" ht="409.6" x14ac:dyDescent="0.3">
      <c r="A7" s="1">
        <v>6</v>
      </c>
      <c r="B7" s="1" t="s">
        <v>29</v>
      </c>
      <c r="C7" s="1" t="s">
        <v>52</v>
      </c>
      <c r="D7" s="1" t="s">
        <v>159</v>
      </c>
      <c r="E7" s="1">
        <v>17.106000000000002</v>
      </c>
      <c r="F7" s="1" t="s">
        <v>23</v>
      </c>
      <c r="G7" s="1" t="s">
        <v>103</v>
      </c>
      <c r="H7" s="1">
        <v>3.8130000000000002</v>
      </c>
      <c r="I7" s="1" t="s">
        <v>23</v>
      </c>
    </row>
    <row r="8" spans="1:17" ht="316.8" x14ac:dyDescent="0.3">
      <c r="A8" s="1">
        <v>7</v>
      </c>
      <c r="B8" s="1" t="s">
        <v>30</v>
      </c>
      <c r="C8" s="1" t="s">
        <v>53</v>
      </c>
      <c r="D8" s="1" t="s">
        <v>160</v>
      </c>
      <c r="E8" s="1">
        <v>2.4140000000000001</v>
      </c>
      <c r="F8" s="1" t="s">
        <v>21</v>
      </c>
      <c r="G8" s="1" t="s">
        <v>104</v>
      </c>
      <c r="H8" s="1">
        <v>2.794</v>
      </c>
      <c r="I8" s="1" t="s">
        <v>23</v>
      </c>
      <c r="J8" s="1" t="s">
        <v>161</v>
      </c>
    </row>
    <row r="9" spans="1:17" ht="409.6" x14ac:dyDescent="0.3">
      <c r="A9" s="1">
        <v>8</v>
      </c>
      <c r="B9" s="1" t="s">
        <v>31</v>
      </c>
      <c r="C9" s="1" t="s">
        <v>54</v>
      </c>
      <c r="D9" s="1" t="s">
        <v>162</v>
      </c>
      <c r="E9" s="1">
        <v>8.9420000000000002</v>
      </c>
      <c r="F9" s="1" t="s">
        <v>23</v>
      </c>
      <c r="G9" s="1" t="s">
        <v>105</v>
      </c>
      <c r="H9" s="1">
        <v>5.7560000000000002</v>
      </c>
      <c r="I9" s="1" t="s">
        <v>23</v>
      </c>
    </row>
    <row r="10" spans="1:17" ht="388.8" x14ac:dyDescent="0.3">
      <c r="A10" s="1">
        <v>9</v>
      </c>
      <c r="B10" s="1" t="s">
        <v>32</v>
      </c>
      <c r="C10" s="1" t="s">
        <v>55</v>
      </c>
      <c r="D10" s="1" t="s">
        <v>163</v>
      </c>
      <c r="E10" s="1">
        <v>7.0359999999999996</v>
      </c>
      <c r="F10" s="1" t="s">
        <v>23</v>
      </c>
      <c r="G10" s="1" t="s">
        <v>106</v>
      </c>
      <c r="H10" s="1">
        <v>2.262</v>
      </c>
      <c r="I10" s="1" t="s">
        <v>23</v>
      </c>
    </row>
    <row r="11" spans="1:17" ht="409.6" x14ac:dyDescent="0.3">
      <c r="A11" s="1">
        <v>10</v>
      </c>
      <c r="B11" s="1" t="s">
        <v>33</v>
      </c>
      <c r="C11" s="1" t="s">
        <v>56</v>
      </c>
      <c r="D11" s="1" t="s">
        <v>164</v>
      </c>
      <c r="E11" s="1">
        <v>8.7720000000000002</v>
      </c>
      <c r="F11" s="1" t="s">
        <v>23</v>
      </c>
      <c r="G11" s="1" t="s">
        <v>107</v>
      </c>
      <c r="H11" s="1">
        <v>2.5129999999999999</v>
      </c>
      <c r="I11" s="1" t="s">
        <v>23</v>
      </c>
    </row>
    <row r="12" spans="1:17" ht="409.6" x14ac:dyDescent="0.3">
      <c r="A12" s="1">
        <v>11</v>
      </c>
      <c r="B12" s="1" t="s">
        <v>34</v>
      </c>
      <c r="C12" s="1" t="s">
        <v>57</v>
      </c>
      <c r="D12" s="1" t="s">
        <v>165</v>
      </c>
      <c r="E12" s="1">
        <v>9.859</v>
      </c>
      <c r="F12" s="1" t="s">
        <v>21</v>
      </c>
      <c r="G12" s="1" t="s">
        <v>108</v>
      </c>
      <c r="H12" s="1">
        <v>3.7669999999999999</v>
      </c>
      <c r="I12" s="1" t="s">
        <v>23</v>
      </c>
      <c r="J12" s="1" t="s">
        <v>166</v>
      </c>
    </row>
    <row r="13" spans="1:17" ht="409.6" x14ac:dyDescent="0.3">
      <c r="A13" s="1">
        <v>12</v>
      </c>
      <c r="B13" s="1" t="s">
        <v>35</v>
      </c>
      <c r="C13" s="1" t="s">
        <v>58</v>
      </c>
      <c r="D13" s="1" t="s">
        <v>167</v>
      </c>
      <c r="E13" s="1">
        <v>7.8609999999999998</v>
      </c>
      <c r="F13" s="1" t="s">
        <v>23</v>
      </c>
      <c r="G13" s="1" t="s">
        <v>109</v>
      </c>
      <c r="H13" s="1">
        <v>3.4369999999999998</v>
      </c>
      <c r="I13" s="1" t="s">
        <v>23</v>
      </c>
    </row>
    <row r="14" spans="1:17" ht="409.6" x14ac:dyDescent="0.3">
      <c r="A14" s="1">
        <v>13</v>
      </c>
      <c r="B14" s="7" t="s">
        <v>37</v>
      </c>
      <c r="C14" s="1" t="s">
        <v>111</v>
      </c>
      <c r="D14" s="1" t="s">
        <v>168</v>
      </c>
      <c r="E14" s="1">
        <v>13.314</v>
      </c>
      <c r="F14" s="1" t="s">
        <v>23</v>
      </c>
      <c r="G14" s="1" t="s">
        <v>110</v>
      </c>
      <c r="H14" s="1">
        <v>3.3149999999999999</v>
      </c>
      <c r="I14" s="1" t="s">
        <v>23</v>
      </c>
    </row>
    <row r="15" spans="1:17" ht="409.6" x14ac:dyDescent="0.3">
      <c r="A15" s="1">
        <v>14</v>
      </c>
      <c r="B15" s="7" t="s">
        <v>36</v>
      </c>
      <c r="C15" s="1" t="s">
        <v>59</v>
      </c>
      <c r="D15" s="1" t="s">
        <v>169</v>
      </c>
      <c r="E15" s="1">
        <v>9.5380000000000003</v>
      </c>
      <c r="F15" s="1" t="s">
        <v>23</v>
      </c>
      <c r="G15" s="1" t="s">
        <v>112</v>
      </c>
      <c r="H15" s="1">
        <v>3.4830000000000001</v>
      </c>
      <c r="I15" s="1" t="s">
        <v>23</v>
      </c>
      <c r="K15" s="1" t="s">
        <v>113</v>
      </c>
    </row>
    <row r="16" spans="1:17" ht="409.6" x14ac:dyDescent="0.3">
      <c r="A16" s="1">
        <v>15</v>
      </c>
      <c r="B16" s="7" t="s">
        <v>38</v>
      </c>
      <c r="C16" s="1" t="s">
        <v>60</v>
      </c>
      <c r="D16" s="1" t="s">
        <v>171</v>
      </c>
      <c r="E16" s="1">
        <v>7.569</v>
      </c>
      <c r="F16" s="1" t="s">
        <v>23</v>
      </c>
      <c r="G16" s="1" t="s">
        <v>114</v>
      </c>
      <c r="H16" s="1">
        <v>3.31</v>
      </c>
      <c r="I16" s="1" t="s">
        <v>23</v>
      </c>
      <c r="J16" s="1" t="s">
        <v>170</v>
      </c>
    </row>
    <row r="17" spans="1:10" s="7" customFormat="1" ht="409.6" x14ac:dyDescent="0.3">
      <c r="A17" s="7">
        <v>16</v>
      </c>
      <c r="B17" s="7" t="s">
        <v>39</v>
      </c>
      <c r="C17" s="7" t="s">
        <v>61</v>
      </c>
      <c r="D17" s="7" t="s">
        <v>172</v>
      </c>
      <c r="E17" s="7">
        <v>6.7809999999999997</v>
      </c>
      <c r="F17" s="7" t="s">
        <v>21</v>
      </c>
      <c r="G17" s="7" t="s">
        <v>115</v>
      </c>
      <c r="H17" s="7">
        <v>5.5860000000000003</v>
      </c>
      <c r="I17" s="1" t="s">
        <v>23</v>
      </c>
      <c r="J17" s="7" t="s">
        <v>88</v>
      </c>
    </row>
    <row r="18" spans="1:10" ht="288" x14ac:dyDescent="0.3">
      <c r="A18" s="1">
        <v>17</v>
      </c>
      <c r="B18" s="7" t="s">
        <v>40</v>
      </c>
      <c r="C18" s="7" t="s">
        <v>62</v>
      </c>
      <c r="D18" s="7" t="s">
        <v>173</v>
      </c>
      <c r="E18" s="1">
        <v>6.8330000000000002</v>
      </c>
      <c r="F18" s="1" t="s">
        <v>23</v>
      </c>
      <c r="G18" s="1" t="s">
        <v>116</v>
      </c>
      <c r="H18" s="1">
        <v>1.849</v>
      </c>
      <c r="I18" s="1" t="s">
        <v>23</v>
      </c>
    </row>
    <row r="19" spans="1:10" ht="409.6" x14ac:dyDescent="0.3">
      <c r="A19" s="1">
        <v>18</v>
      </c>
      <c r="B19" s="7" t="s">
        <v>42</v>
      </c>
      <c r="C19" s="7" t="s">
        <v>91</v>
      </c>
      <c r="D19" s="7" t="s">
        <v>174</v>
      </c>
      <c r="E19" s="1">
        <v>10.029999999999999</v>
      </c>
      <c r="F19" s="1" t="s">
        <v>23</v>
      </c>
      <c r="G19" s="1" t="s">
        <v>117</v>
      </c>
      <c r="H19" s="1">
        <v>3.66</v>
      </c>
      <c r="I19" s="1" t="s">
        <v>23</v>
      </c>
    </row>
    <row r="20" spans="1:10" ht="187.2" x14ac:dyDescent="0.3">
      <c r="A20" s="1">
        <v>19</v>
      </c>
      <c r="B20" s="7" t="s">
        <v>41</v>
      </c>
      <c r="C20" s="7" t="s">
        <v>63</v>
      </c>
      <c r="D20" s="7" t="s">
        <v>175</v>
      </c>
      <c r="E20" s="1">
        <v>4.7130000000000001</v>
      </c>
      <c r="F20" s="1" t="s">
        <v>23</v>
      </c>
      <c r="G20" s="1" t="s">
        <v>118</v>
      </c>
      <c r="H20" s="1">
        <v>2.3460000000000001</v>
      </c>
      <c r="I20" s="1" t="s">
        <v>23</v>
      </c>
    </row>
    <row r="21" spans="1:10" ht="388.8" x14ac:dyDescent="0.3">
      <c r="A21" s="1">
        <v>20</v>
      </c>
      <c r="B21" s="7" t="s">
        <v>43</v>
      </c>
      <c r="C21" s="7" t="s">
        <v>64</v>
      </c>
      <c r="D21" s="7" t="s">
        <v>176</v>
      </c>
      <c r="E21" s="1">
        <v>8.6489999999999991</v>
      </c>
      <c r="F21" s="1" t="s">
        <v>23</v>
      </c>
      <c r="G21" s="1" t="s">
        <v>119</v>
      </c>
      <c r="H21" s="1">
        <v>3.343</v>
      </c>
      <c r="I21" s="1" t="s">
        <v>23</v>
      </c>
    </row>
    <row r="22" spans="1:10" ht="409.6" x14ac:dyDescent="0.3">
      <c r="A22" s="1">
        <v>21</v>
      </c>
      <c r="B22" s="7" t="s">
        <v>44</v>
      </c>
      <c r="C22" s="7" t="s">
        <v>65</v>
      </c>
      <c r="D22" s="7" t="s">
        <v>153</v>
      </c>
      <c r="E22" s="1">
        <v>10.675000000000001</v>
      </c>
      <c r="F22" s="1" t="s">
        <v>23</v>
      </c>
      <c r="G22" s="1" t="s">
        <v>120</v>
      </c>
      <c r="H22" s="1">
        <v>4.7249999999999996</v>
      </c>
      <c r="I22" s="1" t="s">
        <v>23</v>
      </c>
    </row>
    <row r="23" spans="1:10" ht="115.2" x14ac:dyDescent="0.3">
      <c r="A23" s="1">
        <v>22</v>
      </c>
      <c r="B23" s="7" t="s">
        <v>45</v>
      </c>
      <c r="C23" s="7" t="s">
        <v>66</v>
      </c>
      <c r="D23" s="7" t="s">
        <v>95</v>
      </c>
      <c r="E23" s="1">
        <v>1.2090000000000001</v>
      </c>
      <c r="F23" s="1" t="s">
        <v>23</v>
      </c>
      <c r="G23" s="1" t="s">
        <v>121</v>
      </c>
      <c r="H23" s="1">
        <v>3.5910000000000002</v>
      </c>
      <c r="I23" s="1" t="s">
        <v>23</v>
      </c>
    </row>
    <row r="24" spans="1:10" ht="129.6" x14ac:dyDescent="0.3">
      <c r="A24" s="1">
        <v>23</v>
      </c>
      <c r="B24" s="1" t="s">
        <v>46</v>
      </c>
      <c r="C24" s="1" t="s">
        <v>66</v>
      </c>
      <c r="D24" s="1" t="s">
        <v>95</v>
      </c>
      <c r="E24" s="1">
        <v>1.385</v>
      </c>
      <c r="F24" s="1" t="s">
        <v>23</v>
      </c>
      <c r="G24" s="1" t="s">
        <v>122</v>
      </c>
      <c r="H24" s="1">
        <v>2.1160000000000001</v>
      </c>
      <c r="I24" s="1" t="s">
        <v>23</v>
      </c>
    </row>
  </sheetData>
  <conditionalFormatting sqref="F1:F1048576">
    <cfRule type="cellIs" dxfId="5" priority="4" operator="equal">
      <formula>"Incorrect"</formula>
    </cfRule>
    <cfRule type="cellIs" dxfId="4" priority="5" operator="equal">
      <formula>"Partially correct"</formula>
    </cfRule>
    <cfRule type="cellIs" dxfId="3" priority="6" operator="equal">
      <formula>"Correct"</formula>
    </cfRule>
  </conditionalFormatting>
  <conditionalFormatting sqref="I1:I1048576">
    <cfRule type="cellIs" dxfId="2" priority="1" operator="equal">
      <formula>"Correct"</formula>
    </cfRule>
    <cfRule type="cellIs" dxfId="1" priority="2" operator="equal">
      <formula>"Partially correct"</formula>
    </cfRule>
    <cfRule type="cellIs" dxfId="0" priority="3" operator="equal">
      <formula>"Incorrect"</formula>
    </cfRule>
  </conditionalFormatting>
  <dataValidations count="1">
    <dataValidation type="list" allowBlank="1" showInputMessage="1" showErrorMessage="1" sqref="I2:I1048576 F1:F1048576" xr:uid="{26BF09D7-34E5-4EB3-B32F-0602BD6C621C}">
      <formula1>$Q$2:$Q$5</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263A4-91B4-42B4-9C10-FF8846F6B939}">
  <dimension ref="A1:C2"/>
  <sheetViews>
    <sheetView topLeftCell="A10" workbookViewId="0">
      <selection activeCell="A2" sqref="A2"/>
    </sheetView>
  </sheetViews>
  <sheetFormatPr defaultRowHeight="14.4" x14ac:dyDescent="0.3"/>
  <cols>
    <col min="1" max="1" width="62.5546875" customWidth="1"/>
    <col min="3" max="3" width="65.33203125" customWidth="1"/>
  </cols>
  <sheetData>
    <row r="1" spans="1:3" s="3" customFormat="1" ht="72.599999999999994" customHeight="1" x14ac:dyDescent="0.3">
      <c r="A1" s="2" t="s">
        <v>11</v>
      </c>
      <c r="C1" s="3" t="s">
        <v>12</v>
      </c>
    </row>
    <row r="2" spans="1:3" ht="117.6" customHeight="1" x14ac:dyDescent="0.3">
      <c r="A2" s="1" t="s">
        <v>9</v>
      </c>
      <c r="C2" s="1" t="s">
        <v>10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3C5AD-C5D0-4D80-A63F-B869148FE1C2}">
  <dimension ref="A1:E8"/>
  <sheetViews>
    <sheetView tabSelected="1" workbookViewId="0">
      <selection activeCell="C14" sqref="C14"/>
    </sheetView>
  </sheetViews>
  <sheetFormatPr defaultRowHeight="14.4" x14ac:dyDescent="0.3"/>
  <cols>
    <col min="1" max="1" width="23.109375" customWidth="1"/>
    <col min="2" max="3" width="16.6640625" style="5" customWidth="1"/>
    <col min="4" max="4" width="16.33203125" customWidth="1"/>
    <col min="5" max="5" width="22.109375" customWidth="1"/>
  </cols>
  <sheetData>
    <row r="1" spans="1:5" s="4" customFormat="1" ht="15.6" x14ac:dyDescent="0.3">
      <c r="A1" s="4" t="s">
        <v>13</v>
      </c>
      <c r="B1" s="4" t="s">
        <v>14</v>
      </c>
      <c r="C1" s="4" t="s">
        <v>15</v>
      </c>
      <c r="D1" s="4" t="s">
        <v>151</v>
      </c>
      <c r="E1" s="4" t="s">
        <v>152</v>
      </c>
    </row>
    <row r="2" spans="1:5" x14ac:dyDescent="0.3">
      <c r="A2" t="s">
        <v>16</v>
      </c>
      <c r="B2" s="5">
        <f>AVERAGE('Test Questions'!E2:E100)</f>
        <v>34.098478260869562</v>
      </c>
      <c r="C2" s="5">
        <f>AVERAGE('Test Questions'!H2:H100)</f>
        <v>11.279739130434784</v>
      </c>
      <c r="D2" s="5">
        <f>AVERAGE('Test 5.4'!E2:E100)</f>
        <v>7.9078695652173927</v>
      </c>
      <c r="E2" s="5">
        <f>AVERAGE('Test 5.4'!H2:H100)</f>
        <v>3.4073478260869559</v>
      </c>
    </row>
    <row r="3" spans="1:5" x14ac:dyDescent="0.3">
      <c r="A3" t="s">
        <v>17</v>
      </c>
      <c r="B3" s="5">
        <f>MEDIAN('Test Questions'!E2:E100)</f>
        <v>32.511000000000003</v>
      </c>
      <c r="C3" s="5">
        <f>MEDIAN('Test Questions'!H2:H100)</f>
        <v>12.085000000000001</v>
      </c>
      <c r="D3" s="5">
        <f>MEDIAN('Test 5.4'!E2:E100)</f>
        <v>7.9530000000000003</v>
      </c>
      <c r="E3" s="5">
        <f>MEDIAN('Test 5.4'!H2:H100)</f>
        <v>3.33</v>
      </c>
    </row>
    <row r="4" spans="1:5" x14ac:dyDescent="0.3">
      <c r="A4" t="s">
        <v>18</v>
      </c>
      <c r="B4" s="5">
        <f>MAX('Test Questions'!E2:E100)</f>
        <v>113.04900000000001</v>
      </c>
      <c r="C4" s="5">
        <f>MAX('Test Questions'!H2:H100)</f>
        <v>21.327000000000002</v>
      </c>
      <c r="D4" s="5">
        <f>MAX('Test 5.4'!E2:E100)</f>
        <v>17.106000000000002</v>
      </c>
      <c r="E4" s="5">
        <f>MAX('Test 5.4'!H2:H100)</f>
        <v>5.7560000000000002</v>
      </c>
    </row>
    <row r="5" spans="1:5" x14ac:dyDescent="0.3">
      <c r="A5" t="s">
        <v>19</v>
      </c>
      <c r="B5" s="5">
        <f>MIN('Test Questions'!E2:E100)</f>
        <v>3.585</v>
      </c>
      <c r="C5" s="5">
        <f>MIN('Test Questions'!H2:H100)</f>
        <v>3.9729999999999999</v>
      </c>
      <c r="D5" s="5">
        <f>MIN('Test 5.4'!E2:E100)</f>
        <v>1.2090000000000001</v>
      </c>
      <c r="E5" s="5">
        <f>MIN('Test 5.4'!H2:H100)</f>
        <v>1.849</v>
      </c>
    </row>
    <row r="6" spans="1:5" x14ac:dyDescent="0.3">
      <c r="A6" t="s">
        <v>20</v>
      </c>
      <c r="B6" s="5" t="str">
        <f>COUNTIF('Test Questions'!F2:F100,"Correct")&amp;"/"&amp;COUNTA('Test Questions'!A2:A100)</f>
        <v>16/23</v>
      </c>
      <c r="C6" s="5" t="str">
        <f>COUNTIF('Test Questions'!I2:I100,"Correct")&amp;"/"&amp;COUNTA('Test Questions'!A2:A100)</f>
        <v>18/23</v>
      </c>
      <c r="D6" s="5" t="str">
        <f>COUNTIF('Test 5.4'!F2:F100,"Correct")&amp;"/"&amp;COUNTA('Test 5.4'!A2:A100)</f>
        <v>20/23</v>
      </c>
      <c r="E6" s="5" t="str">
        <f>COUNTIF('Test 5.4'!I2:I100,"Correct")&amp;"/"&amp;COUNTA('Test 5.4'!A2:A100)</f>
        <v>23/23</v>
      </c>
    </row>
    <row r="7" spans="1:5" x14ac:dyDescent="0.3">
      <c r="A7" t="s">
        <v>21</v>
      </c>
      <c r="B7" s="5" t="str">
        <f>COUNTIF('Test Questions'!F2:F100,"Partially correct")&amp;"/"&amp;COUNTA('Test Questions'!A2:A100)</f>
        <v>6/23</v>
      </c>
      <c r="C7" s="5" t="str">
        <f>COUNTIF('Test Questions'!I2:I100,"Partially correct")&amp;"/"&amp;COUNTA('Test Questions'!A2:A100)</f>
        <v>4/23</v>
      </c>
      <c r="D7" s="5" t="str">
        <f>COUNTIF('Test 5.4'!F2:F100,"Partially correct")&amp;"/"&amp;COUNTA('Test 5.4'!A2:A100)</f>
        <v>3/23</v>
      </c>
      <c r="E7" s="5" t="str">
        <f>COUNTIF('Test 5.4'!I2:I100,"Partially correct")&amp;"/"&amp;COUNTA('Test 5.4'!A2:A100)</f>
        <v>0/23</v>
      </c>
    </row>
    <row r="8" spans="1:5" x14ac:dyDescent="0.3">
      <c r="A8" t="s">
        <v>22</v>
      </c>
      <c r="B8" s="5" t="str">
        <f>COUNTIF('Test Questions'!F2:F100,"Incorrect")&amp;"/"&amp;COUNTA('Test Questions'!A2:A100)</f>
        <v>1/23</v>
      </c>
      <c r="C8" s="5" t="str">
        <f>COUNTIF('Test Questions'!I2:I100,"Incorrect")&amp;"/"&amp;COUNTA('Test Questions'!A2:A100)</f>
        <v>1/23</v>
      </c>
      <c r="D8" s="5" t="str">
        <f>COUNTIF('Test 5.4'!F2:F100,"Incorrect")&amp;"/"&amp;COUNTA('Test 5.4'!A2:A100)</f>
        <v>0/23</v>
      </c>
      <c r="E8" s="5" t="str">
        <f>COUNTIF('Test 5.4'!I2:I100,"Incorrect")&amp;"/"&amp;COUNTA('Test 5.4'!A2:A100)</f>
        <v>0/23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Questions</vt:lpstr>
      <vt:lpstr>Test 5.4</vt:lpstr>
      <vt:lpstr>Instructions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Jean-Zacharie Mariethoz</dc:creator>
  <cp:lastModifiedBy>Jean-Zacharie Mariethoz</cp:lastModifiedBy>
  <dcterms:created xsi:type="dcterms:W3CDTF">2026-09-14T11:53:48Z</dcterms:created>
  <dcterms:modified xsi:type="dcterms:W3CDTF">2026-09-15T01:37:57Z</dcterms:modified>
</cp:coreProperties>
</file>